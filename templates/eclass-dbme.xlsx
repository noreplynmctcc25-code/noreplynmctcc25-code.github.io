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lvincentlabitad/Desktop/SEMESTER/CLASS FILES PER SEMESTER/FIRST SEMESTER 2026-2027/E-CLASSRECORD/"/>
    </mc:Choice>
  </mc:AlternateContent>
  <xr:revisionPtr revIDLastSave="0" documentId="13_ncr:1_{6464D5F6-D0BC-FC4C-B83F-C1ABFB147BE1}" xr6:coauthVersionLast="47" xr6:coauthVersionMax="47" xr10:uidLastSave="{00000000-0000-0000-0000-000000000000}"/>
  <bookViews>
    <workbookView minimized="1" xWindow="0" yWindow="600" windowWidth="26040" windowHeight="16300" tabRatio="500" xr2:uid="{00000000-000D-0000-FFFF-FFFF00000000}"/>
  </bookViews>
  <sheets>
    <sheet name="Class List" sheetId="6" r:id="rId1"/>
    <sheet name="PRELIM" sheetId="15" r:id="rId2"/>
    <sheet name="MIDTERM" sheetId="21" r:id="rId3"/>
    <sheet name="FINAL" sheetId="22" r:id="rId4"/>
    <sheet name="Grade Sheet (Prelim)" sheetId="23" r:id="rId5"/>
    <sheet name="Grade Sheet (Midterm) " sheetId="25" r:id="rId6"/>
    <sheet name="Grade Sheet (Final)" sheetId="26" r:id="rId7"/>
    <sheet name="Grade Equivalent" sheetId="24" r:id="rId8"/>
  </sheets>
  <definedNames>
    <definedName name="_xlnm.Print_Area" localSheetId="3">FINAL!$A$2:$AM$85</definedName>
    <definedName name="_xlnm.Print_Area" localSheetId="6">'Grade Sheet (Final)'!$A$2:$H$81</definedName>
    <definedName name="_xlnm.Print_Area" localSheetId="5">'Grade Sheet (Midterm) '!$A$2:$H$81</definedName>
    <definedName name="_xlnm.Print_Area" localSheetId="4">'Grade Sheet (Prelim)'!$A$2:$H$81</definedName>
    <definedName name="_xlnm.Print_Area" localSheetId="2">MIDTERM!$A$2:$AL$85</definedName>
    <definedName name="_xlnm.Print_Area" localSheetId="1">PRELIM!$A$2:$AH$85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8" i="26" l="1"/>
  <c r="B78" i="26"/>
  <c r="A78" i="26"/>
  <c r="H77" i="26"/>
  <c r="B77" i="26"/>
  <c r="A77" i="26"/>
  <c r="H76" i="26"/>
  <c r="B76" i="26"/>
  <c r="A76" i="26"/>
  <c r="H75" i="26"/>
  <c r="B75" i="26"/>
  <c r="A75" i="26"/>
  <c r="H74" i="26"/>
  <c r="B74" i="26"/>
  <c r="A74" i="26"/>
  <c r="H73" i="26"/>
  <c r="B73" i="26"/>
  <c r="A73" i="26"/>
  <c r="H72" i="26"/>
  <c r="B72" i="26"/>
  <c r="A72" i="26"/>
  <c r="H71" i="26"/>
  <c r="B71" i="26"/>
  <c r="A71" i="26"/>
  <c r="H70" i="26"/>
  <c r="B70" i="26"/>
  <c r="A70" i="26"/>
  <c r="H69" i="26"/>
  <c r="A69" i="26"/>
  <c r="H68" i="26"/>
  <c r="A68" i="26"/>
  <c r="H67" i="26"/>
  <c r="A67" i="26"/>
  <c r="H66" i="26"/>
  <c r="A66" i="26"/>
  <c r="H65" i="26"/>
  <c r="A65" i="26"/>
  <c r="H64" i="26"/>
  <c r="A64" i="26"/>
  <c r="H63" i="26"/>
  <c r="A63" i="26"/>
  <c r="H62" i="26"/>
  <c r="A62" i="26"/>
  <c r="H61" i="26"/>
  <c r="A61" i="26"/>
  <c r="H60" i="26"/>
  <c r="A60" i="26"/>
  <c r="H59" i="26"/>
  <c r="A59" i="26"/>
  <c r="H58" i="26"/>
  <c r="A58" i="26"/>
  <c r="H57" i="26"/>
  <c r="A57" i="26"/>
  <c r="H56" i="26"/>
  <c r="A56" i="26"/>
  <c r="H55" i="26"/>
  <c r="A55" i="26"/>
  <c r="H54" i="26"/>
  <c r="A54" i="26"/>
  <c r="H53" i="26"/>
  <c r="A53" i="26"/>
  <c r="H52" i="26"/>
  <c r="A52" i="26"/>
  <c r="H51" i="26"/>
  <c r="A51" i="26"/>
  <c r="H50" i="26"/>
  <c r="A50" i="26"/>
  <c r="H49" i="26"/>
  <c r="A49" i="26"/>
  <c r="H48" i="26"/>
  <c r="A48" i="26"/>
  <c r="H47" i="26"/>
  <c r="A47" i="26"/>
  <c r="H46" i="26"/>
  <c r="A46" i="26"/>
  <c r="H45" i="26"/>
  <c r="A45" i="26"/>
  <c r="H44" i="26"/>
  <c r="A44" i="26"/>
  <c r="H43" i="26"/>
  <c r="A43" i="26"/>
  <c r="H42" i="26"/>
  <c r="A42" i="26"/>
  <c r="H41" i="26"/>
  <c r="A41" i="26"/>
  <c r="H40" i="26"/>
  <c r="A40" i="26"/>
  <c r="H39" i="26"/>
  <c r="A39" i="26"/>
  <c r="H38" i="26"/>
  <c r="A38" i="26"/>
  <c r="H37" i="26"/>
  <c r="A37" i="26"/>
  <c r="H36" i="26"/>
  <c r="A36" i="26"/>
  <c r="H35" i="26"/>
  <c r="A35" i="26"/>
  <c r="H34" i="26"/>
  <c r="A34" i="26"/>
  <c r="H33" i="26"/>
  <c r="A33" i="26"/>
  <c r="H32" i="26"/>
  <c r="A32" i="26"/>
  <c r="H31" i="26"/>
  <c r="A31" i="26"/>
  <c r="H30" i="26"/>
  <c r="A30" i="26"/>
  <c r="H29" i="26"/>
  <c r="A29" i="26"/>
  <c r="H28" i="26"/>
  <c r="A28" i="26"/>
  <c r="H27" i="26"/>
  <c r="A27" i="26"/>
  <c r="H26" i="26"/>
  <c r="A26" i="26"/>
  <c r="H25" i="26"/>
  <c r="A25" i="26"/>
  <c r="H24" i="26"/>
  <c r="A24" i="26"/>
  <c r="H23" i="26"/>
  <c r="A23" i="26"/>
  <c r="H22" i="26"/>
  <c r="A22" i="26"/>
  <c r="H21" i="26"/>
  <c r="A21" i="26"/>
  <c r="H20" i="26"/>
  <c r="A20" i="26"/>
  <c r="H19" i="26"/>
  <c r="A19" i="26"/>
  <c r="F14" i="26"/>
  <c r="C14" i="26"/>
  <c r="F13" i="26"/>
  <c r="C13" i="26"/>
  <c r="A11" i="26"/>
  <c r="H78" i="25"/>
  <c r="B78" i="25"/>
  <c r="A78" i="25"/>
  <c r="H77" i="25"/>
  <c r="B77" i="25"/>
  <c r="A77" i="25"/>
  <c r="H76" i="25"/>
  <c r="B76" i="25"/>
  <c r="A76" i="25"/>
  <c r="H75" i="25"/>
  <c r="B75" i="25"/>
  <c r="A75" i="25"/>
  <c r="H74" i="25"/>
  <c r="B74" i="25"/>
  <c r="A74" i="25"/>
  <c r="H73" i="25"/>
  <c r="B73" i="25"/>
  <c r="A73" i="25"/>
  <c r="H72" i="25"/>
  <c r="B72" i="25"/>
  <c r="A72" i="25"/>
  <c r="H71" i="25"/>
  <c r="B71" i="25"/>
  <c r="A71" i="25"/>
  <c r="H70" i="25"/>
  <c r="B70" i="25"/>
  <c r="A70" i="25"/>
  <c r="H69" i="25"/>
  <c r="A69" i="25"/>
  <c r="H68" i="25"/>
  <c r="A68" i="25"/>
  <c r="H67" i="25"/>
  <c r="A67" i="25"/>
  <c r="H66" i="25"/>
  <c r="A66" i="25"/>
  <c r="H65" i="25"/>
  <c r="A65" i="25"/>
  <c r="H64" i="25"/>
  <c r="A64" i="25"/>
  <c r="H63" i="25"/>
  <c r="A63" i="25"/>
  <c r="H62" i="25"/>
  <c r="A62" i="25"/>
  <c r="H61" i="25"/>
  <c r="A61" i="25"/>
  <c r="H60" i="25"/>
  <c r="A60" i="25"/>
  <c r="H59" i="25"/>
  <c r="A59" i="25"/>
  <c r="H58" i="25"/>
  <c r="A58" i="25"/>
  <c r="H57" i="25"/>
  <c r="A57" i="25"/>
  <c r="H56" i="25"/>
  <c r="A56" i="25"/>
  <c r="H55" i="25"/>
  <c r="A55" i="25"/>
  <c r="H54" i="25"/>
  <c r="A54" i="25"/>
  <c r="H53" i="25"/>
  <c r="A53" i="25"/>
  <c r="H52" i="25"/>
  <c r="A52" i="25"/>
  <c r="H51" i="25"/>
  <c r="A51" i="25"/>
  <c r="H50" i="25"/>
  <c r="A50" i="25"/>
  <c r="H49" i="25"/>
  <c r="A49" i="25"/>
  <c r="H48" i="25"/>
  <c r="A48" i="25"/>
  <c r="H47" i="25"/>
  <c r="A47" i="25"/>
  <c r="H46" i="25"/>
  <c r="A46" i="25"/>
  <c r="H45" i="25"/>
  <c r="A45" i="25"/>
  <c r="H44" i="25"/>
  <c r="A44" i="25"/>
  <c r="H43" i="25"/>
  <c r="A43" i="25"/>
  <c r="H42" i="25"/>
  <c r="A42" i="25"/>
  <c r="H41" i="25"/>
  <c r="A41" i="25"/>
  <c r="H40" i="25"/>
  <c r="A40" i="25"/>
  <c r="H39" i="25"/>
  <c r="A39" i="25"/>
  <c r="H38" i="25"/>
  <c r="A38" i="25"/>
  <c r="H37" i="25"/>
  <c r="A37" i="25"/>
  <c r="H36" i="25"/>
  <c r="A36" i="25"/>
  <c r="H35" i="25"/>
  <c r="A35" i="25"/>
  <c r="H34" i="25"/>
  <c r="A34" i="25"/>
  <c r="H33" i="25"/>
  <c r="A33" i="25"/>
  <c r="H32" i="25"/>
  <c r="A32" i="25"/>
  <c r="H31" i="25"/>
  <c r="A31" i="25"/>
  <c r="H30" i="25"/>
  <c r="A30" i="25"/>
  <c r="H29" i="25"/>
  <c r="A29" i="25"/>
  <c r="H28" i="25"/>
  <c r="A28" i="25"/>
  <c r="H27" i="25"/>
  <c r="A27" i="25"/>
  <c r="H26" i="25"/>
  <c r="A26" i="25"/>
  <c r="H25" i="25"/>
  <c r="A25" i="25"/>
  <c r="H24" i="25"/>
  <c r="A24" i="25"/>
  <c r="H23" i="25"/>
  <c r="A23" i="25"/>
  <c r="H22" i="25"/>
  <c r="A22" i="25"/>
  <c r="H21" i="25"/>
  <c r="A21" i="25"/>
  <c r="H20" i="25"/>
  <c r="A20" i="25"/>
  <c r="H19" i="25"/>
  <c r="A19" i="25"/>
  <c r="F14" i="25"/>
  <c r="C14" i="25"/>
  <c r="F13" i="25"/>
  <c r="C13" i="25"/>
  <c r="A11" i="25"/>
  <c r="F14" i="23"/>
  <c r="C14" i="23"/>
  <c r="C13" i="23"/>
  <c r="F13" i="23"/>
  <c r="E10" i="22"/>
  <c r="E9" i="22"/>
  <c r="E8" i="22"/>
  <c r="E7" i="22"/>
  <c r="A5" i="22"/>
  <c r="A4" i="22"/>
  <c r="B83" i="15"/>
  <c r="B83" i="21"/>
  <c r="E10" i="21"/>
  <c r="E9" i="21"/>
  <c r="E8" i="21"/>
  <c r="E7" i="21"/>
  <c r="A5" i="21"/>
  <c r="A4" i="21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20" i="22"/>
  <c r="AH17" i="22"/>
  <c r="E10" i="15"/>
  <c r="E9" i="15"/>
  <c r="E8" i="15"/>
  <c r="E7" i="15"/>
  <c r="A5" i="15"/>
  <c r="A4" i="15"/>
  <c r="AA21" i="22" l="1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AA55" i="22"/>
  <c r="AA56" i="22"/>
  <c r="AA57" i="22"/>
  <c r="AA58" i="22"/>
  <c r="AA59" i="22"/>
  <c r="AA60" i="22"/>
  <c r="AA61" i="22"/>
  <c r="AA62" i="22"/>
  <c r="AA63" i="22"/>
  <c r="AA64" i="22"/>
  <c r="AA65" i="22"/>
  <c r="AA66" i="22"/>
  <c r="AA67" i="22"/>
  <c r="AA68" i="22"/>
  <c r="AA69" i="22"/>
  <c r="AA70" i="22"/>
  <c r="AA71" i="22"/>
  <c r="AA72" i="22"/>
  <c r="AA73" i="22"/>
  <c r="AA74" i="22"/>
  <c r="AA75" i="22"/>
  <c r="AA76" i="22"/>
  <c r="AA77" i="22"/>
  <c r="AA78" i="22"/>
  <c r="AA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20" i="22"/>
  <c r="AE17" i="22"/>
  <c r="AA17" i="22"/>
  <c r="AE21" i="21" l="1"/>
  <c r="AF21" i="21" s="1"/>
  <c r="AG21" i="21" s="1"/>
  <c r="AE22" i="21"/>
  <c r="AF22" i="21" s="1"/>
  <c r="AG22" i="21" s="1"/>
  <c r="AE23" i="21"/>
  <c r="AF23" i="21" s="1"/>
  <c r="AG23" i="21" s="1"/>
  <c r="AE24" i="21"/>
  <c r="AF24" i="21" s="1"/>
  <c r="AG24" i="21"/>
  <c r="AE25" i="21"/>
  <c r="AF25" i="21" s="1"/>
  <c r="AG25" i="21" s="1"/>
  <c r="AE26" i="21"/>
  <c r="AE27" i="21"/>
  <c r="AE28" i="21"/>
  <c r="AF28" i="21" s="1"/>
  <c r="AG28" i="21" s="1"/>
  <c r="AE29" i="21"/>
  <c r="AF29" i="21" s="1"/>
  <c r="AG29" i="21"/>
  <c r="AE30" i="21"/>
  <c r="AF30" i="21" s="1"/>
  <c r="AG30" i="21" s="1"/>
  <c r="AE31" i="21"/>
  <c r="AF31" i="21" s="1"/>
  <c r="AG31" i="21" s="1"/>
  <c r="AE32" i="21"/>
  <c r="AF32" i="21" s="1"/>
  <c r="AG32" i="21" s="1"/>
  <c r="AE33" i="21"/>
  <c r="AF33" i="21" s="1"/>
  <c r="AG33" i="21"/>
  <c r="AE34" i="21"/>
  <c r="AE35" i="21"/>
  <c r="AE36" i="21"/>
  <c r="AF36" i="21" s="1"/>
  <c r="AG36" i="21" s="1"/>
  <c r="AE37" i="21"/>
  <c r="AF37" i="21" s="1"/>
  <c r="AG37" i="21" s="1"/>
  <c r="AE38" i="21"/>
  <c r="AF38" i="21" s="1"/>
  <c r="AG38" i="21"/>
  <c r="AE39" i="21"/>
  <c r="AF39" i="21" s="1"/>
  <c r="AG39" i="21" s="1"/>
  <c r="AE40" i="21"/>
  <c r="AF40" i="21" s="1"/>
  <c r="AG40" i="21" s="1"/>
  <c r="AE41" i="21"/>
  <c r="AF41" i="21" s="1"/>
  <c r="AG41" i="21" s="1"/>
  <c r="AE42" i="21"/>
  <c r="AE43" i="21"/>
  <c r="AE44" i="21"/>
  <c r="AF44" i="21" s="1"/>
  <c r="AG44" i="21" s="1"/>
  <c r="AE45" i="21"/>
  <c r="AF45" i="21" s="1"/>
  <c r="AG45" i="21" s="1"/>
  <c r="AE46" i="21"/>
  <c r="AF46" i="21" s="1"/>
  <c r="AG46" i="21" s="1"/>
  <c r="AE47" i="21"/>
  <c r="AF47" i="21" s="1"/>
  <c r="AG47" i="21"/>
  <c r="AE48" i="21"/>
  <c r="AF48" i="21" s="1"/>
  <c r="AG48" i="21" s="1"/>
  <c r="AE49" i="21"/>
  <c r="AF49" i="21" s="1"/>
  <c r="AG49" i="21" s="1"/>
  <c r="AE50" i="21"/>
  <c r="AE51" i="21"/>
  <c r="AE52" i="21"/>
  <c r="AF52" i="21" s="1"/>
  <c r="AG52" i="21"/>
  <c r="AE53" i="21"/>
  <c r="AF53" i="21" s="1"/>
  <c r="AG53" i="21" s="1"/>
  <c r="AE54" i="21"/>
  <c r="AF54" i="21" s="1"/>
  <c r="AG54" i="21" s="1"/>
  <c r="AE55" i="21"/>
  <c r="AF55" i="21" s="1"/>
  <c r="AG55" i="21" s="1"/>
  <c r="AE56" i="21"/>
  <c r="AF56" i="21" s="1"/>
  <c r="AG56" i="21"/>
  <c r="AE57" i="21"/>
  <c r="AF57" i="21" s="1"/>
  <c r="AG57" i="21" s="1"/>
  <c r="AE58" i="21"/>
  <c r="AE59" i="21"/>
  <c r="AE60" i="21"/>
  <c r="AF60" i="21" s="1"/>
  <c r="AG60" i="21" s="1"/>
  <c r="AE61" i="21"/>
  <c r="AF61" i="21" s="1"/>
  <c r="AG61" i="21"/>
  <c r="AE62" i="21"/>
  <c r="AF62" i="21" s="1"/>
  <c r="AG62" i="21" s="1"/>
  <c r="AE63" i="21"/>
  <c r="AF63" i="21" s="1"/>
  <c r="AG63" i="21" s="1"/>
  <c r="AE64" i="21"/>
  <c r="AF64" i="21" s="1"/>
  <c r="AG64" i="21" s="1"/>
  <c r="AE65" i="21"/>
  <c r="AF65" i="21" s="1"/>
  <c r="AG65" i="21"/>
  <c r="AE66" i="21"/>
  <c r="AE67" i="21"/>
  <c r="AE68" i="21"/>
  <c r="AF68" i="21" s="1"/>
  <c r="AG68" i="21" s="1"/>
  <c r="AE69" i="21"/>
  <c r="AF69" i="21" s="1"/>
  <c r="AG69" i="21" s="1"/>
  <c r="AE70" i="21"/>
  <c r="AF70" i="21" s="1"/>
  <c r="AG70" i="21"/>
  <c r="AE71" i="21"/>
  <c r="AF71" i="21" s="1"/>
  <c r="AG71" i="21" s="1"/>
  <c r="AE72" i="21"/>
  <c r="AF72" i="21" s="1"/>
  <c r="AG72" i="21" s="1"/>
  <c r="AE73" i="21"/>
  <c r="AF73" i="21" s="1"/>
  <c r="AG73" i="21" s="1"/>
  <c r="AE74" i="21"/>
  <c r="AE75" i="21"/>
  <c r="AE76" i="21"/>
  <c r="AF76" i="21" s="1"/>
  <c r="AG76" i="21" s="1"/>
  <c r="AE77" i="21"/>
  <c r="AF77" i="21" s="1"/>
  <c r="AG77" i="21" s="1"/>
  <c r="AE78" i="21"/>
  <c r="AF78" i="21" s="1"/>
  <c r="AG78" i="21" s="1"/>
  <c r="AE19" i="21"/>
  <c r="AF19" i="21" s="1"/>
  <c r="AG19" i="21"/>
  <c r="AE20" i="21"/>
  <c r="AF20" i="21" s="1"/>
  <c r="AG20" i="21" s="1"/>
  <c r="AA21" i="21"/>
  <c r="AB21" i="21" s="1"/>
  <c r="AC21" i="21" s="1"/>
  <c r="AA22" i="21"/>
  <c r="AA23" i="21"/>
  <c r="AB23" i="21" s="1"/>
  <c r="AC23" i="21"/>
  <c r="AA24" i="21"/>
  <c r="AB24" i="21" s="1"/>
  <c r="AC24" i="21"/>
  <c r="AA25" i="21"/>
  <c r="AB25" i="21" s="1"/>
  <c r="AC25" i="21"/>
  <c r="AA26" i="21"/>
  <c r="AA27" i="21"/>
  <c r="AA28" i="21"/>
  <c r="AB28" i="21" s="1"/>
  <c r="AC28" i="21"/>
  <c r="AA29" i="21"/>
  <c r="AB29" i="21" s="1"/>
  <c r="AC29" i="21"/>
  <c r="AA30" i="21"/>
  <c r="AA31" i="21"/>
  <c r="AB31" i="21" s="1"/>
  <c r="AC31" i="21" s="1"/>
  <c r="AA32" i="21"/>
  <c r="AB32" i="21" s="1"/>
  <c r="AC32" i="21" s="1"/>
  <c r="AA33" i="21"/>
  <c r="AB33" i="21" s="1"/>
  <c r="AC33" i="21"/>
  <c r="AA34" i="21"/>
  <c r="AA35" i="21"/>
  <c r="AA36" i="21"/>
  <c r="AB36" i="21" s="1"/>
  <c r="AC36" i="21" s="1"/>
  <c r="AA37" i="21"/>
  <c r="AB37" i="21" s="1"/>
  <c r="AC37" i="21" s="1"/>
  <c r="AA38" i="21"/>
  <c r="AA39" i="21"/>
  <c r="AB39" i="21" s="1"/>
  <c r="AC39" i="21"/>
  <c r="AA40" i="21"/>
  <c r="AB40" i="21" s="1"/>
  <c r="AC40" i="21"/>
  <c r="AA41" i="21"/>
  <c r="AB41" i="21" s="1"/>
  <c r="AC41" i="21"/>
  <c r="AA42" i="21"/>
  <c r="AA43" i="21"/>
  <c r="AA44" i="21"/>
  <c r="AB44" i="21" s="1"/>
  <c r="AC44" i="21"/>
  <c r="AA45" i="21"/>
  <c r="AB45" i="21" s="1"/>
  <c r="AC45" i="21"/>
  <c r="AA46" i="21"/>
  <c r="AA47" i="21"/>
  <c r="AB47" i="21" s="1"/>
  <c r="AC47" i="21" s="1"/>
  <c r="AA48" i="21"/>
  <c r="AB48" i="21" s="1"/>
  <c r="AC48" i="21"/>
  <c r="AA49" i="21"/>
  <c r="AB49" i="21" s="1"/>
  <c r="AC49" i="21" s="1"/>
  <c r="AA50" i="21"/>
  <c r="AA51" i="21"/>
  <c r="AA52" i="21"/>
  <c r="AB52" i="21" s="1"/>
  <c r="AC52" i="21" s="1"/>
  <c r="AA53" i="21"/>
  <c r="AB53" i="21" s="1"/>
  <c r="AC53" i="21"/>
  <c r="AA54" i="21"/>
  <c r="AA55" i="21"/>
  <c r="AB55" i="21" s="1"/>
  <c r="AC55" i="21"/>
  <c r="AA56" i="21"/>
  <c r="AB56" i="21" s="1"/>
  <c r="AC56" i="21"/>
  <c r="AA57" i="21"/>
  <c r="AB57" i="21" s="1"/>
  <c r="AC57" i="21"/>
  <c r="AA58" i="21"/>
  <c r="AA59" i="21"/>
  <c r="AA60" i="21"/>
  <c r="AB60" i="21" s="1"/>
  <c r="AC60" i="21"/>
  <c r="AA61" i="21"/>
  <c r="AB61" i="21" s="1"/>
  <c r="AC61" i="21"/>
  <c r="AA62" i="21"/>
  <c r="AA63" i="21"/>
  <c r="AB63" i="21" s="1"/>
  <c r="AC63" i="21"/>
  <c r="AA64" i="21"/>
  <c r="AB64" i="21" s="1"/>
  <c r="AC64" i="21" s="1"/>
  <c r="AA65" i="21"/>
  <c r="AB65" i="21" s="1"/>
  <c r="AC65" i="21" s="1"/>
  <c r="AA66" i="21"/>
  <c r="AA67" i="21"/>
  <c r="AA68" i="21"/>
  <c r="AB68" i="21" s="1"/>
  <c r="AC68" i="21"/>
  <c r="AA69" i="21"/>
  <c r="AB69" i="21" s="1"/>
  <c r="AC69" i="21" s="1"/>
  <c r="AA70" i="21"/>
  <c r="AA71" i="21"/>
  <c r="AB71" i="21" s="1"/>
  <c r="AC71" i="21"/>
  <c r="AA72" i="21"/>
  <c r="AB72" i="21" s="1"/>
  <c r="AC72" i="21"/>
  <c r="AA73" i="21"/>
  <c r="AB73" i="21" s="1"/>
  <c r="AC73" i="21"/>
  <c r="AA74" i="21"/>
  <c r="AA75" i="21"/>
  <c r="AA76" i="21"/>
  <c r="AB76" i="21" s="1"/>
  <c r="AC76" i="21"/>
  <c r="AA77" i="21"/>
  <c r="AB77" i="21" s="1"/>
  <c r="AC77" i="21"/>
  <c r="AA78" i="21"/>
  <c r="AA19" i="21"/>
  <c r="AA20" i="21"/>
  <c r="AB20" i="21" s="1"/>
  <c r="AC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19" i="21"/>
  <c r="V20" i="21"/>
  <c r="L21" i="21"/>
  <c r="L22" i="21"/>
  <c r="L23" i="21"/>
  <c r="L24" i="21"/>
  <c r="L25" i="21"/>
  <c r="L26" i="21"/>
  <c r="L27" i="21"/>
  <c r="L28" i="21"/>
  <c r="L29" i="21"/>
  <c r="L30" i="21"/>
  <c r="L31" i="21"/>
  <c r="M31" i="21" s="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19" i="21"/>
  <c r="L20" i="21"/>
  <c r="AE17" i="21"/>
  <c r="AF17" i="21" s="1"/>
  <c r="AG17" i="21" s="1"/>
  <c r="AA17" i="21"/>
  <c r="AB17" i="21" s="1"/>
  <c r="AC17" i="21" s="1"/>
  <c r="V17" i="21"/>
  <c r="L17" i="21"/>
  <c r="M23" i="21" s="1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19" i="23"/>
  <c r="AE21" i="15"/>
  <c r="AF21" i="15" s="1"/>
  <c r="AG21" i="15" s="1"/>
  <c r="AE22" i="15"/>
  <c r="AF22" i="15" s="1"/>
  <c r="AG22" i="15" s="1"/>
  <c r="AE23" i="15"/>
  <c r="AF23" i="15" s="1"/>
  <c r="AG23" i="15"/>
  <c r="AE24" i="15"/>
  <c r="AF24" i="15" s="1"/>
  <c r="AG24" i="15"/>
  <c r="AE25" i="15"/>
  <c r="AE26" i="15"/>
  <c r="AE27" i="15"/>
  <c r="AE28" i="15"/>
  <c r="AF28" i="15" s="1"/>
  <c r="AG28" i="15"/>
  <c r="AE29" i="15"/>
  <c r="AF29" i="15" s="1"/>
  <c r="AG29" i="15"/>
  <c r="AE30" i="15"/>
  <c r="AF30" i="15" s="1"/>
  <c r="AG30" i="15"/>
  <c r="AE31" i="15"/>
  <c r="AF31" i="15" s="1"/>
  <c r="AG31" i="15"/>
  <c r="AE32" i="15"/>
  <c r="AF32" i="15" s="1"/>
  <c r="AG32" i="15" s="1"/>
  <c r="AE33" i="15"/>
  <c r="AE34" i="15"/>
  <c r="AE35" i="15"/>
  <c r="AE36" i="15"/>
  <c r="AF36" i="15" s="1"/>
  <c r="AG36" i="15" s="1"/>
  <c r="AE37" i="15"/>
  <c r="AF37" i="15" s="1"/>
  <c r="AG37" i="15" s="1"/>
  <c r="AE38" i="15"/>
  <c r="AF38" i="15" s="1"/>
  <c r="AG38" i="15"/>
  <c r="AE39" i="15"/>
  <c r="AF39" i="15" s="1"/>
  <c r="AG39" i="15"/>
  <c r="AE40" i="15"/>
  <c r="AF40" i="15" s="1"/>
  <c r="AG40" i="15" s="1"/>
  <c r="AE41" i="15"/>
  <c r="AE42" i="15"/>
  <c r="AE43" i="15"/>
  <c r="AE44" i="15"/>
  <c r="AF44" i="15" s="1"/>
  <c r="AG44" i="15"/>
  <c r="AE45" i="15"/>
  <c r="AF45" i="15" s="1"/>
  <c r="AG45" i="15"/>
  <c r="AE46" i="15"/>
  <c r="AF46" i="15" s="1"/>
  <c r="AG46" i="15"/>
  <c r="AE47" i="15"/>
  <c r="AF47" i="15" s="1"/>
  <c r="AG47" i="15" s="1"/>
  <c r="AE48" i="15"/>
  <c r="AF48" i="15" s="1"/>
  <c r="AG48" i="15" s="1"/>
  <c r="AE49" i="15"/>
  <c r="AE50" i="15"/>
  <c r="AE51" i="15"/>
  <c r="AE52" i="15"/>
  <c r="AF52" i="15" s="1"/>
  <c r="AG52" i="15" s="1"/>
  <c r="AE53" i="15"/>
  <c r="AF53" i="15" s="1"/>
  <c r="AG53" i="15"/>
  <c r="AE54" i="15"/>
  <c r="AF54" i="15" s="1"/>
  <c r="AG54" i="15"/>
  <c r="AE55" i="15"/>
  <c r="AF55" i="15" s="1"/>
  <c r="AG55" i="15" s="1"/>
  <c r="AE56" i="15"/>
  <c r="AF56" i="15" s="1"/>
  <c r="AG56" i="15" s="1"/>
  <c r="AE57" i="15"/>
  <c r="AE58" i="15"/>
  <c r="AE59" i="15"/>
  <c r="AE60" i="15"/>
  <c r="AF60" i="15" s="1"/>
  <c r="AG60" i="15"/>
  <c r="AE61" i="15"/>
  <c r="AF61" i="15" s="1"/>
  <c r="AG61" i="15"/>
  <c r="AE62" i="15"/>
  <c r="AF62" i="15" s="1"/>
  <c r="AG62" i="15"/>
  <c r="AE63" i="15"/>
  <c r="AF63" i="15" s="1"/>
  <c r="AG63" i="15" s="1"/>
  <c r="AE64" i="15"/>
  <c r="AF64" i="15" s="1"/>
  <c r="AG64" i="15"/>
  <c r="AE65" i="15"/>
  <c r="AE66" i="15"/>
  <c r="AE67" i="15"/>
  <c r="AE68" i="15"/>
  <c r="AF68" i="15" s="1"/>
  <c r="AG68" i="15"/>
  <c r="AE69" i="15"/>
  <c r="AF69" i="15" s="1"/>
  <c r="AG69" i="15"/>
  <c r="AE70" i="15"/>
  <c r="AF70" i="15" s="1"/>
  <c r="AG70" i="15" s="1"/>
  <c r="AE71" i="15"/>
  <c r="AF71" i="15" s="1"/>
  <c r="AG71" i="15"/>
  <c r="AE72" i="15"/>
  <c r="AF72" i="15" s="1"/>
  <c r="AG72" i="15"/>
  <c r="AE73" i="15"/>
  <c r="AE74" i="15"/>
  <c r="AE75" i="15"/>
  <c r="AE76" i="15"/>
  <c r="AF76" i="15" s="1"/>
  <c r="AG76" i="15"/>
  <c r="AE77" i="15"/>
  <c r="AF77" i="15" s="1"/>
  <c r="AG77" i="15"/>
  <c r="AE78" i="15"/>
  <c r="AF78" i="15" s="1"/>
  <c r="AG78" i="15" s="1"/>
  <c r="AE19" i="15"/>
  <c r="AF19" i="15" s="1"/>
  <c r="AG19" i="15"/>
  <c r="AE20" i="15"/>
  <c r="AF20" i="15" s="1"/>
  <c r="AG20" i="15"/>
  <c r="AE17" i="15"/>
  <c r="AF17" i="15" s="1"/>
  <c r="AG17" i="15" s="1"/>
  <c r="AA21" i="15"/>
  <c r="AB21" i="15" s="1"/>
  <c r="AC21" i="15" s="1"/>
  <c r="AA22" i="15"/>
  <c r="AB22" i="15" s="1"/>
  <c r="AC22" i="15"/>
  <c r="AA23" i="15"/>
  <c r="AB23" i="15" s="1"/>
  <c r="AC23" i="15"/>
  <c r="AA24" i="15"/>
  <c r="AB24" i="15" s="1"/>
  <c r="AC24" i="15"/>
  <c r="AA25" i="15"/>
  <c r="AB25" i="15" s="1"/>
  <c r="AC25" i="15" s="1"/>
  <c r="AA26" i="15"/>
  <c r="AA27" i="15"/>
  <c r="AB27" i="15" s="1"/>
  <c r="AC27" i="15" s="1"/>
  <c r="AA28" i="15"/>
  <c r="AB28" i="15" s="1"/>
  <c r="AC28" i="15"/>
  <c r="AA29" i="15"/>
  <c r="AB29" i="15" s="1"/>
  <c r="AC29" i="15"/>
  <c r="AA30" i="15"/>
  <c r="AB30" i="15" s="1"/>
  <c r="AC30" i="15"/>
  <c r="AA31" i="15"/>
  <c r="AB31" i="15" s="1"/>
  <c r="AC31" i="15" s="1"/>
  <c r="AA32" i="15"/>
  <c r="AB32" i="15" s="1"/>
  <c r="AC32" i="15"/>
  <c r="AA33" i="15"/>
  <c r="AB33" i="15" s="1"/>
  <c r="AC33" i="15"/>
  <c r="AA34" i="15"/>
  <c r="AA35" i="15"/>
  <c r="AB35" i="15" s="1"/>
  <c r="AC35" i="15"/>
  <c r="AA36" i="15"/>
  <c r="AB36" i="15" s="1"/>
  <c r="AC36" i="15"/>
  <c r="AA37" i="15"/>
  <c r="AB37" i="15" s="1"/>
  <c r="AC37" i="15"/>
  <c r="AA38" i="15"/>
  <c r="AB38" i="15" s="1"/>
  <c r="AC38" i="15" s="1"/>
  <c r="AA39" i="15"/>
  <c r="AB39" i="15" s="1"/>
  <c r="AC39" i="15"/>
  <c r="AA40" i="15"/>
  <c r="AB40" i="15" s="1"/>
  <c r="AC40" i="15"/>
  <c r="AA41" i="15"/>
  <c r="AB41" i="15" s="1"/>
  <c r="AC41" i="15"/>
  <c r="AA42" i="15"/>
  <c r="AA43" i="15"/>
  <c r="AB43" i="15" s="1"/>
  <c r="AC43" i="15"/>
  <c r="AA44" i="15"/>
  <c r="AB44" i="15" s="1"/>
  <c r="AC44" i="15" s="1"/>
  <c r="AA45" i="15"/>
  <c r="AB45" i="15" s="1"/>
  <c r="AC45" i="15"/>
  <c r="AA46" i="15"/>
  <c r="AB46" i="15" s="1"/>
  <c r="AC46" i="15"/>
  <c r="AA47" i="15"/>
  <c r="AB47" i="15" s="1"/>
  <c r="AC47" i="15"/>
  <c r="AA48" i="15"/>
  <c r="AB48" i="15" s="1"/>
  <c r="AC48" i="15" s="1"/>
  <c r="AA49" i="15"/>
  <c r="AB49" i="15" s="1"/>
  <c r="AC49" i="15"/>
  <c r="AA50" i="15"/>
  <c r="AA51" i="15"/>
  <c r="AB51" i="15" s="1"/>
  <c r="AC51" i="15" s="1"/>
  <c r="AA52" i="15"/>
  <c r="AB52" i="15" s="1"/>
  <c r="AC52" i="15"/>
  <c r="AA53" i="15"/>
  <c r="AB53" i="15" s="1"/>
  <c r="AC53" i="15"/>
  <c r="AA54" i="15"/>
  <c r="AB54" i="15" s="1"/>
  <c r="AC54" i="15"/>
  <c r="AA55" i="15"/>
  <c r="AB55" i="15" s="1"/>
  <c r="AC55" i="15" s="1"/>
  <c r="AA56" i="15"/>
  <c r="AB56" i="15" s="1"/>
  <c r="AC56" i="15"/>
  <c r="AA57" i="15"/>
  <c r="AB57" i="15" s="1"/>
  <c r="AC57" i="15"/>
  <c r="AA58" i="15"/>
  <c r="AA59" i="15"/>
  <c r="AB59" i="15" s="1"/>
  <c r="AC59" i="15"/>
  <c r="AA60" i="15"/>
  <c r="AB60" i="15" s="1"/>
  <c r="AC60" i="15"/>
  <c r="AA61" i="15"/>
  <c r="AB61" i="15" s="1"/>
  <c r="AC61" i="15" s="1"/>
  <c r="AA62" i="15"/>
  <c r="AB62" i="15" s="1"/>
  <c r="AC62" i="15"/>
  <c r="AA63" i="15"/>
  <c r="AB63" i="15" s="1"/>
  <c r="AC63" i="15"/>
  <c r="AA64" i="15"/>
  <c r="AB64" i="15" s="1"/>
  <c r="AC64" i="15"/>
  <c r="AA65" i="15"/>
  <c r="AB65" i="15" s="1"/>
  <c r="AC65" i="15" s="1"/>
  <c r="AA66" i="15"/>
  <c r="AA67" i="15"/>
  <c r="AB67" i="15" s="1"/>
  <c r="AC67" i="15"/>
  <c r="AA68" i="15"/>
  <c r="AB68" i="15" s="1"/>
  <c r="AC68" i="15"/>
  <c r="AA69" i="15"/>
  <c r="AB69" i="15" s="1"/>
  <c r="AC69" i="15"/>
  <c r="AA70" i="15"/>
  <c r="AB70" i="15" s="1"/>
  <c r="AC70" i="15"/>
  <c r="AA71" i="15"/>
  <c r="AB71" i="15" s="1"/>
  <c r="AC71" i="15"/>
  <c r="AA72" i="15"/>
  <c r="AB72" i="15" s="1"/>
  <c r="AC72" i="15"/>
  <c r="AA73" i="15"/>
  <c r="AB73" i="15" s="1"/>
  <c r="AC73" i="15"/>
  <c r="AA74" i="15"/>
  <c r="AA75" i="15"/>
  <c r="AB75" i="15" s="1"/>
  <c r="AC75" i="15"/>
  <c r="AA76" i="15"/>
  <c r="AB76" i="15" s="1"/>
  <c r="AC76" i="15"/>
  <c r="AA77" i="15"/>
  <c r="AB77" i="15" s="1"/>
  <c r="AC77" i="15"/>
  <c r="AA78" i="15"/>
  <c r="AB78" i="15" s="1"/>
  <c r="AC78" i="15" s="1"/>
  <c r="AA19" i="15"/>
  <c r="AA20" i="15"/>
  <c r="AB20" i="15" s="1"/>
  <c r="AC20" i="15"/>
  <c r="AA17" i="15"/>
  <c r="AB17" i="15" s="1"/>
  <c r="AC17" i="15" s="1"/>
  <c r="V21" i="15"/>
  <c r="V22" i="15"/>
  <c r="V23" i="15"/>
  <c r="V24" i="15"/>
  <c r="V25" i="15"/>
  <c r="V26" i="15"/>
  <c r="V27" i="15"/>
  <c r="W27" i="15" s="1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W43" i="15" s="1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W59" i="15" s="1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W75" i="15" s="1"/>
  <c r="V76" i="15"/>
  <c r="V77" i="15"/>
  <c r="V78" i="15"/>
  <c r="V20" i="15"/>
  <c r="V19" i="15"/>
  <c r="V17" i="15"/>
  <c r="W56" i="15" s="1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19" i="15"/>
  <c r="L20" i="15"/>
  <c r="F4" i="6"/>
  <c r="F5" i="6"/>
  <c r="F6" i="6"/>
  <c r="F7" i="6"/>
  <c r="F8" i="6"/>
  <c r="F9" i="6"/>
  <c r="F10" i="6"/>
  <c r="F11" i="6"/>
  <c r="F12" i="6"/>
  <c r="B28" i="23" s="1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B70" i="23" s="1"/>
  <c r="F55" i="6"/>
  <c r="B71" i="23" s="1"/>
  <c r="F56" i="6"/>
  <c r="B72" i="23" s="1"/>
  <c r="F57" i="6"/>
  <c r="B73" i="23" s="1"/>
  <c r="F58" i="6"/>
  <c r="B74" i="23" s="1"/>
  <c r="F59" i="6"/>
  <c r="B75" i="23" s="1"/>
  <c r="F60" i="6"/>
  <c r="B76" i="23" s="1"/>
  <c r="F61" i="6"/>
  <c r="B77" i="23" s="1"/>
  <c r="F62" i="6"/>
  <c r="B78" i="23" s="1"/>
  <c r="F3" i="6"/>
  <c r="B44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19" i="23"/>
  <c r="B19" i="23" l="1"/>
  <c r="B19" i="26"/>
  <c r="B19" i="25"/>
  <c r="B55" i="23"/>
  <c r="B55" i="25"/>
  <c r="B55" i="26"/>
  <c r="B39" i="23"/>
  <c r="B39" i="25"/>
  <c r="B39" i="26"/>
  <c r="B66" i="23"/>
  <c r="B66" i="25"/>
  <c r="B66" i="26"/>
  <c r="B58" i="23"/>
  <c r="B58" i="25"/>
  <c r="B58" i="26"/>
  <c r="B50" i="23"/>
  <c r="B50" i="25"/>
  <c r="B50" i="26"/>
  <c r="B42" i="23"/>
  <c r="B42" i="25"/>
  <c r="B42" i="26"/>
  <c r="B65" i="23"/>
  <c r="B65" i="25"/>
  <c r="B65" i="26"/>
  <c r="B57" i="23"/>
  <c r="B57" i="25"/>
  <c r="B57" i="26"/>
  <c r="B49" i="23"/>
  <c r="B49" i="25"/>
  <c r="B49" i="26"/>
  <c r="B41" i="23"/>
  <c r="B41" i="25"/>
  <c r="B41" i="26"/>
  <c r="B64" i="23"/>
  <c r="B64" i="25"/>
  <c r="B64" i="26"/>
  <c r="B56" i="23"/>
  <c r="B56" i="25"/>
  <c r="B56" i="26"/>
  <c r="B48" i="23"/>
  <c r="B48" i="25"/>
  <c r="B48" i="26"/>
  <c r="B40" i="23"/>
  <c r="B40" i="25"/>
  <c r="B40" i="26"/>
  <c r="B46" i="23"/>
  <c r="B46" i="25"/>
  <c r="B46" i="26"/>
  <c r="B60" i="23"/>
  <c r="B60" i="25"/>
  <c r="B60" i="26"/>
  <c r="B63" i="23"/>
  <c r="B63" i="25"/>
  <c r="B63" i="26"/>
  <c r="B47" i="23"/>
  <c r="B47" i="25"/>
  <c r="B47" i="26"/>
  <c r="B62" i="23"/>
  <c r="B62" i="25"/>
  <c r="B62" i="26"/>
  <c r="B54" i="23"/>
  <c r="B54" i="25"/>
  <c r="B54" i="26"/>
  <c r="B38" i="23"/>
  <c r="B38" i="25"/>
  <c r="B38" i="26"/>
  <c r="B69" i="23"/>
  <c r="B69" i="26"/>
  <c r="B69" i="25"/>
  <c r="B61" i="23"/>
  <c r="B61" i="26"/>
  <c r="B61" i="25"/>
  <c r="B53" i="23"/>
  <c r="B53" i="26"/>
  <c r="B53" i="25"/>
  <c r="B45" i="23"/>
  <c r="B45" i="26"/>
  <c r="B45" i="25"/>
  <c r="B68" i="23"/>
  <c r="B68" i="26"/>
  <c r="B68" i="25"/>
  <c r="B52" i="23"/>
  <c r="B52" i="26"/>
  <c r="B52" i="25"/>
  <c r="B44" i="25"/>
  <c r="B44" i="26"/>
  <c r="B67" i="23"/>
  <c r="B67" i="25"/>
  <c r="B67" i="26"/>
  <c r="B59" i="23"/>
  <c r="B59" i="25"/>
  <c r="B59" i="26"/>
  <c r="B51" i="23"/>
  <c r="B51" i="25"/>
  <c r="B51" i="26"/>
  <c r="B43" i="23"/>
  <c r="B43" i="25"/>
  <c r="B43" i="26"/>
  <c r="B37" i="23"/>
  <c r="B37" i="26"/>
  <c r="B37" i="25"/>
  <c r="B36" i="23"/>
  <c r="B36" i="26"/>
  <c r="B36" i="25"/>
  <c r="B28" i="26"/>
  <c r="B28" i="25"/>
  <c r="B35" i="23"/>
  <c r="B35" i="26"/>
  <c r="B35" i="25"/>
  <c r="B34" i="23"/>
  <c r="B34" i="26"/>
  <c r="B34" i="25"/>
  <c r="B26" i="23"/>
  <c r="B26" i="26"/>
  <c r="B26" i="25"/>
  <c r="B33" i="23"/>
  <c r="B33" i="26"/>
  <c r="B33" i="25"/>
  <c r="B25" i="23"/>
  <c r="B25" i="26"/>
  <c r="B25" i="25"/>
  <c r="B24" i="25"/>
  <c r="B24" i="26"/>
  <c r="B24" i="23"/>
  <c r="B32" i="23"/>
  <c r="B32" i="25"/>
  <c r="B32" i="26"/>
  <c r="B31" i="23"/>
  <c r="B31" i="26"/>
  <c r="B31" i="25"/>
  <c r="B23" i="23"/>
  <c r="B23" i="25"/>
  <c r="B23" i="26"/>
  <c r="B30" i="23"/>
  <c r="B30" i="26"/>
  <c r="B30" i="25"/>
  <c r="B22" i="23"/>
  <c r="B22" i="26"/>
  <c r="B22" i="25"/>
  <c r="B29" i="23"/>
  <c r="B29" i="25"/>
  <c r="B29" i="26"/>
  <c r="B21" i="23"/>
  <c r="B21" i="25"/>
  <c r="B21" i="26"/>
  <c r="B20" i="23"/>
  <c r="B20" i="26"/>
  <c r="B20" i="25"/>
  <c r="B27" i="23"/>
  <c r="B27" i="26"/>
  <c r="B27" i="25"/>
  <c r="N31" i="21"/>
  <c r="O31" i="21" s="1"/>
  <c r="N23" i="21"/>
  <c r="O23" i="21" s="1"/>
  <c r="AB34" i="21"/>
  <c r="AC34" i="21" s="1"/>
  <c r="AB54" i="21"/>
  <c r="AC54" i="21" s="1"/>
  <c r="AB38" i="21"/>
  <c r="AC38" i="21" s="1"/>
  <c r="AB67" i="21"/>
  <c r="AC67" i="21" s="1"/>
  <c r="AB62" i="21"/>
  <c r="AC62" i="21" s="1"/>
  <c r="AB42" i="21"/>
  <c r="AC42" i="21" s="1"/>
  <c r="AF51" i="21"/>
  <c r="AG51" i="21" s="1"/>
  <c r="AF42" i="21"/>
  <c r="AG42" i="21" s="1"/>
  <c r="AB66" i="21"/>
  <c r="AC66" i="21" s="1"/>
  <c r="AB27" i="21"/>
  <c r="AC27" i="21" s="1"/>
  <c r="AB22" i="21"/>
  <c r="AC22" i="21" s="1"/>
  <c r="AF50" i="21"/>
  <c r="AG50" i="21" s="1"/>
  <c r="AB58" i="21"/>
  <c r="AC58" i="21" s="1"/>
  <c r="AF75" i="21"/>
  <c r="AG75" i="21" s="1"/>
  <c r="AF43" i="21"/>
  <c r="AG43" i="21" s="1"/>
  <c r="AB43" i="21"/>
  <c r="AC43" i="21" s="1"/>
  <c r="AB51" i="21"/>
  <c r="AC51" i="21" s="1"/>
  <c r="AB46" i="21"/>
  <c r="AC46" i="21" s="1"/>
  <c r="AB26" i="21"/>
  <c r="AC26" i="21" s="1"/>
  <c r="AF59" i="21"/>
  <c r="AG59" i="21" s="1"/>
  <c r="AF27" i="21"/>
  <c r="AG27" i="21" s="1"/>
  <c r="AB19" i="21"/>
  <c r="AC19" i="21" s="1"/>
  <c r="AB59" i="21"/>
  <c r="AC59" i="21" s="1"/>
  <c r="AF66" i="21"/>
  <c r="AG66" i="21" s="1"/>
  <c r="AB78" i="21"/>
  <c r="AC78" i="21" s="1"/>
  <c r="AB50" i="21"/>
  <c r="AC50" i="21" s="1"/>
  <c r="AF58" i="21"/>
  <c r="AG58" i="21" s="1"/>
  <c r="AF26" i="21"/>
  <c r="AG26" i="21" s="1"/>
  <c r="AF74" i="21"/>
  <c r="AG74" i="21" s="1"/>
  <c r="AB75" i="21"/>
  <c r="AC75" i="21" s="1"/>
  <c r="AB70" i="21"/>
  <c r="AC70" i="21" s="1"/>
  <c r="W20" i="21"/>
  <c r="AB74" i="21"/>
  <c r="AC74" i="21" s="1"/>
  <c r="AB35" i="21"/>
  <c r="AC35" i="21" s="1"/>
  <c r="AC30" i="21"/>
  <c r="AB30" i="21"/>
  <c r="AG67" i="21"/>
  <c r="AF67" i="21"/>
  <c r="AF35" i="21"/>
  <c r="AG35" i="21" s="1"/>
  <c r="AF34" i="21"/>
  <c r="AG34" i="21" s="1"/>
  <c r="X75" i="15"/>
  <c r="Y75" i="15" s="1"/>
  <c r="X59" i="15"/>
  <c r="Y59" i="15" s="1"/>
  <c r="X43" i="15"/>
  <c r="Y43" i="15" s="1"/>
  <c r="X27" i="15"/>
  <c r="Y27" i="15" s="1"/>
  <c r="W20" i="15"/>
  <c r="W57" i="15"/>
  <c r="AB34" i="15"/>
  <c r="AC34" i="15" s="1"/>
  <c r="AF73" i="15"/>
  <c r="AG73" i="15" s="1"/>
  <c r="AF59" i="15"/>
  <c r="AG59" i="15" s="1"/>
  <c r="AF34" i="15"/>
  <c r="AG34" i="15" s="1"/>
  <c r="W63" i="15"/>
  <c r="AB26" i="15"/>
  <c r="AC26" i="15" s="1"/>
  <c r="AB42" i="15"/>
  <c r="AC42" i="15" s="1"/>
  <c r="AG58" i="15"/>
  <c r="AF58" i="15"/>
  <c r="AF33" i="15"/>
  <c r="AG33" i="15" s="1"/>
  <c r="W21" i="15"/>
  <c r="AF50" i="15"/>
  <c r="AG50" i="15" s="1"/>
  <c r="AF25" i="15"/>
  <c r="AG25" i="15" s="1"/>
  <c r="AF35" i="15"/>
  <c r="AG35" i="15" s="1"/>
  <c r="W41" i="15"/>
  <c r="W25" i="15"/>
  <c r="AB50" i="15"/>
  <c r="AC50" i="15" s="1"/>
  <c r="AF57" i="15"/>
  <c r="AG57" i="15" s="1"/>
  <c r="AF43" i="15"/>
  <c r="AG43" i="15" s="1"/>
  <c r="W35" i="15"/>
  <c r="AF67" i="15"/>
  <c r="AG67" i="15" s="1"/>
  <c r="AF42" i="15"/>
  <c r="AG42" i="15" s="1"/>
  <c r="Y56" i="15"/>
  <c r="X56" i="15"/>
  <c r="W69" i="15"/>
  <c r="W53" i="15"/>
  <c r="W37" i="15"/>
  <c r="AF75" i="15"/>
  <c r="AG75" i="15" s="1"/>
  <c r="W19" i="15"/>
  <c r="W31" i="15"/>
  <c r="AF74" i="15"/>
  <c r="AG74" i="15" s="1"/>
  <c r="W73" i="15"/>
  <c r="W51" i="15"/>
  <c r="W77" i="15"/>
  <c r="W45" i="15"/>
  <c r="W29" i="15"/>
  <c r="W71" i="15"/>
  <c r="W55" i="15"/>
  <c r="W39" i="15"/>
  <c r="W23" i="15"/>
  <c r="AB58" i="15"/>
  <c r="AC58" i="15" s="1"/>
  <c r="W33" i="15"/>
  <c r="AB19" i="15"/>
  <c r="AC19" i="15" s="1"/>
  <c r="AB66" i="15"/>
  <c r="AC66" i="15" s="1"/>
  <c r="AF66" i="15"/>
  <c r="AG66" i="15" s="1"/>
  <c r="AF41" i="15"/>
  <c r="AG41" i="15" s="1"/>
  <c r="AF27" i="15"/>
  <c r="AG27" i="15" s="1"/>
  <c r="W47" i="15"/>
  <c r="AF49" i="15"/>
  <c r="AG49" i="15" s="1"/>
  <c r="W67" i="15"/>
  <c r="W61" i="15"/>
  <c r="W65" i="15"/>
  <c r="W49" i="15"/>
  <c r="AC74" i="15"/>
  <c r="AB74" i="15"/>
  <c r="AF65" i="15"/>
  <c r="AG65" i="15" s="1"/>
  <c r="AF51" i="15"/>
  <c r="AG51" i="15" s="1"/>
  <c r="AF26" i="15"/>
  <c r="AG26" i="15" s="1"/>
  <c r="W75" i="21"/>
  <c r="W67" i="21"/>
  <c r="W59" i="21"/>
  <c r="W51" i="21"/>
  <c r="W43" i="21"/>
  <c r="W35" i="21"/>
  <c r="W27" i="21"/>
  <c r="W74" i="21"/>
  <c r="W66" i="21"/>
  <c r="W58" i="21"/>
  <c r="W50" i="21"/>
  <c r="W42" i="21"/>
  <c r="W34" i="21"/>
  <c r="W26" i="21"/>
  <c r="W17" i="21"/>
  <c r="W65" i="21"/>
  <c r="W57" i="21"/>
  <c r="W49" i="21"/>
  <c r="W41" i="21"/>
  <c r="W33" i="21"/>
  <c r="W25" i="21"/>
  <c r="W24" i="21"/>
  <c r="W73" i="21"/>
  <c r="W56" i="21"/>
  <c r="W32" i="21"/>
  <c r="W19" i="21"/>
  <c r="W71" i="21"/>
  <c r="W63" i="21"/>
  <c r="W55" i="21"/>
  <c r="W47" i="21"/>
  <c r="W39" i="21"/>
  <c r="W31" i="21"/>
  <c r="W23" i="21"/>
  <c r="W64" i="21"/>
  <c r="W40" i="21"/>
  <c r="W78" i="21"/>
  <c r="W70" i="21"/>
  <c r="W62" i="21"/>
  <c r="W54" i="21"/>
  <c r="W46" i="21"/>
  <c r="W38" i="21"/>
  <c r="W30" i="21"/>
  <c r="W22" i="21"/>
  <c r="W72" i="21"/>
  <c r="W48" i="21"/>
  <c r="W77" i="21"/>
  <c r="W69" i="21"/>
  <c r="W61" i="21"/>
  <c r="W53" i="21"/>
  <c r="W45" i="21"/>
  <c r="W37" i="21"/>
  <c r="W29" i="21"/>
  <c r="W21" i="21"/>
  <c r="W76" i="21"/>
  <c r="W68" i="21"/>
  <c r="W60" i="21"/>
  <c r="W52" i="21"/>
  <c r="W44" i="21"/>
  <c r="W36" i="21"/>
  <c r="W28" i="21"/>
  <c r="W78" i="15"/>
  <c r="W72" i="15"/>
  <c r="W66" i="15"/>
  <c r="W62" i="15"/>
  <c r="W60" i="15"/>
  <c r="W54" i="15"/>
  <c r="W50" i="15"/>
  <c r="W46" i="15"/>
  <c r="W44" i="15"/>
  <c r="W40" i="15"/>
  <c r="W38" i="15"/>
  <c r="W36" i="15"/>
  <c r="W34" i="15"/>
  <c r="W32" i="15"/>
  <c r="W30" i="15"/>
  <c r="W26" i="15"/>
  <c r="W24" i="15"/>
  <c r="W22" i="15"/>
  <c r="W74" i="15"/>
  <c r="W68" i="15"/>
  <c r="W64" i="15"/>
  <c r="W58" i="15"/>
  <c r="W52" i="15"/>
  <c r="W48" i="15"/>
  <c r="W42" i="15"/>
  <c r="W28" i="15"/>
  <c r="W17" i="15"/>
  <c r="W76" i="15"/>
  <c r="W70" i="15"/>
  <c r="M46" i="21"/>
  <c r="M49" i="21"/>
  <c r="M54" i="21"/>
  <c r="M57" i="21"/>
  <c r="M62" i="21"/>
  <c r="M65" i="21"/>
  <c r="M70" i="21"/>
  <c r="M73" i="21"/>
  <c r="M78" i="21"/>
  <c r="M29" i="21"/>
  <c r="M45" i="21"/>
  <c r="M66" i="21"/>
  <c r="M77" i="21"/>
  <c r="M34" i="21"/>
  <c r="M24" i="21"/>
  <c r="M28" i="21"/>
  <c r="M32" i="21"/>
  <c r="M38" i="21"/>
  <c r="M41" i="21"/>
  <c r="M25" i="21"/>
  <c r="M36" i="21"/>
  <c r="M39" i="21"/>
  <c r="M21" i="21"/>
  <c r="M42" i="21"/>
  <c r="M53" i="21"/>
  <c r="M58" i="21"/>
  <c r="M69" i="21"/>
  <c r="M74" i="21"/>
  <c r="M20" i="21"/>
  <c r="M30" i="21"/>
  <c r="M44" i="21"/>
  <c r="M47" i="21"/>
  <c r="M52" i="21"/>
  <c r="M55" i="21"/>
  <c r="M60" i="21"/>
  <c r="M63" i="21"/>
  <c r="M68" i="21"/>
  <c r="M71" i="21"/>
  <c r="M76" i="21"/>
  <c r="M19" i="21"/>
  <c r="M33" i="21"/>
  <c r="M50" i="21"/>
  <c r="M61" i="21"/>
  <c r="M26" i="21"/>
  <c r="M37" i="21"/>
  <c r="M17" i="21"/>
  <c r="M56" i="21"/>
  <c r="M51" i="21"/>
  <c r="M40" i="21"/>
  <c r="M35" i="21"/>
  <c r="M72" i="21"/>
  <c r="M67" i="21"/>
  <c r="M27" i="21"/>
  <c r="M75" i="21"/>
  <c r="M64" i="21"/>
  <c r="M59" i="21"/>
  <c r="M48" i="21"/>
  <c r="M43" i="21"/>
  <c r="M22" i="21"/>
  <c r="N75" i="21" l="1"/>
  <c r="O75" i="21" s="1"/>
  <c r="AH75" i="21" s="1"/>
  <c r="AI75" i="21" s="1"/>
  <c r="N34" i="21"/>
  <c r="O34" i="21" s="1"/>
  <c r="X32" i="21"/>
  <c r="Y32" i="21" s="1"/>
  <c r="Y75" i="21"/>
  <c r="X75" i="21"/>
  <c r="N68" i="21"/>
  <c r="O68" i="21" s="1"/>
  <c r="AH68" i="21" s="1"/>
  <c r="AI68" i="21" s="1"/>
  <c r="X77" i="21"/>
  <c r="Y77" i="21" s="1"/>
  <c r="AH77" i="21" s="1"/>
  <c r="AI77" i="21" s="1"/>
  <c r="X47" i="21"/>
  <c r="Y47" i="21" s="1"/>
  <c r="AH47" i="21" s="1"/>
  <c r="AI47" i="21" s="1"/>
  <c r="O17" i="21"/>
  <c r="N17" i="21"/>
  <c r="N65" i="21"/>
  <c r="O65" i="21" s="1"/>
  <c r="X54" i="21"/>
  <c r="Y54" i="21" s="1"/>
  <c r="X66" i="21"/>
  <c r="Y66" i="21" s="1"/>
  <c r="O27" i="21"/>
  <c r="N27" i="21"/>
  <c r="X39" i="21"/>
  <c r="Y39" i="21" s="1"/>
  <c r="AH39" i="21" s="1"/>
  <c r="AI39" i="21" s="1"/>
  <c r="N30" i="21"/>
  <c r="O30" i="21" s="1"/>
  <c r="X68" i="21"/>
  <c r="Y68" i="21" s="1"/>
  <c r="Y57" i="21"/>
  <c r="X57" i="21"/>
  <c r="N37" i="21"/>
  <c r="O37" i="21" s="1"/>
  <c r="AH37" i="21" s="1"/>
  <c r="AI37" i="21" s="1"/>
  <c r="N63" i="21"/>
  <c r="O63" i="21" s="1"/>
  <c r="AH63" i="21" s="1"/>
  <c r="AI63" i="21" s="1"/>
  <c r="N66" i="21"/>
  <c r="O66" i="21" s="1"/>
  <c r="AH66" i="21" s="1"/>
  <c r="AI66" i="21" s="1"/>
  <c r="Y73" i="21"/>
  <c r="AH73" i="21" s="1"/>
  <c r="AI73" i="21" s="1"/>
  <c r="X73" i="21"/>
  <c r="X27" i="21"/>
  <c r="Y27" i="21" s="1"/>
  <c r="N41" i="21"/>
  <c r="O41" i="21" s="1"/>
  <c r="AH41" i="21" s="1"/>
  <c r="AI41" i="21" s="1"/>
  <c r="N50" i="21"/>
  <c r="O50" i="21" s="1"/>
  <c r="O58" i="21"/>
  <c r="N58" i="21"/>
  <c r="N49" i="21"/>
  <c r="O49" i="21" s="1"/>
  <c r="AH49" i="21" s="1"/>
  <c r="AI49" i="21" s="1"/>
  <c r="X22" i="21"/>
  <c r="Y22" i="21" s="1"/>
  <c r="X63" i="21"/>
  <c r="Y63" i="21" s="1"/>
  <c r="Y43" i="21"/>
  <c r="X43" i="21"/>
  <c r="N39" i="21"/>
  <c r="O39" i="21" s="1"/>
  <c r="X31" i="21"/>
  <c r="Y31" i="21" s="1"/>
  <c r="AH31" i="21" s="1"/>
  <c r="AI31" i="21" s="1"/>
  <c r="N36" i="21"/>
  <c r="O36" i="21" s="1"/>
  <c r="AH36" i="21" s="1"/>
  <c r="AI36" i="21" s="1"/>
  <c r="Y48" i="21"/>
  <c r="AH48" i="21" s="1"/>
  <c r="AI48" i="21" s="1"/>
  <c r="X48" i="21"/>
  <c r="N22" i="21"/>
  <c r="O22" i="21" s="1"/>
  <c r="N60" i="21"/>
  <c r="O60" i="21" s="1"/>
  <c r="N43" i="21"/>
  <c r="O43" i="21" s="1"/>
  <c r="AH43" i="21" s="1"/>
  <c r="AI43" i="21" s="1"/>
  <c r="O35" i="21"/>
  <c r="N35" i="21"/>
  <c r="N55" i="21"/>
  <c r="O55" i="21" s="1"/>
  <c r="N38" i="21"/>
  <c r="O38" i="21" s="1"/>
  <c r="N29" i="21"/>
  <c r="O29" i="21" s="1"/>
  <c r="Y36" i="21"/>
  <c r="X36" i="21"/>
  <c r="X37" i="21"/>
  <c r="Y37" i="21" s="1"/>
  <c r="X25" i="21"/>
  <c r="Y25" i="21" s="1"/>
  <c r="X34" i="21"/>
  <c r="Y34" i="21" s="1"/>
  <c r="AH34" i="21" s="1"/>
  <c r="AI34" i="21" s="1"/>
  <c r="O48" i="21"/>
  <c r="N48" i="21"/>
  <c r="N40" i="21"/>
  <c r="O40" i="21" s="1"/>
  <c r="AH40" i="21" s="1"/>
  <c r="AI40" i="21" s="1"/>
  <c r="N33" i="21"/>
  <c r="O33" i="21" s="1"/>
  <c r="N52" i="21"/>
  <c r="O52" i="21" s="1"/>
  <c r="O53" i="21"/>
  <c r="N53" i="21"/>
  <c r="N32" i="21"/>
  <c r="O32" i="21" s="1"/>
  <c r="AH32" i="21" s="1"/>
  <c r="AI32" i="21" s="1"/>
  <c r="N78" i="21"/>
  <c r="O78" i="21" s="1"/>
  <c r="N46" i="21"/>
  <c r="O46" i="21" s="1"/>
  <c r="Y44" i="21"/>
  <c r="X44" i="21"/>
  <c r="X45" i="21"/>
  <c r="Y45" i="21" s="1"/>
  <c r="X30" i="21"/>
  <c r="Y30" i="21" s="1"/>
  <c r="AH30" i="21" s="1"/>
  <c r="AI30" i="21" s="1"/>
  <c r="X40" i="21"/>
  <c r="Y40" i="21" s="1"/>
  <c r="Y71" i="21"/>
  <c r="AH71" i="21" s="1"/>
  <c r="AI71" i="21" s="1"/>
  <c r="X71" i="21"/>
  <c r="X33" i="21"/>
  <c r="Y33" i="21" s="1"/>
  <c r="X42" i="21"/>
  <c r="Y42" i="21" s="1"/>
  <c r="AH42" i="21" s="1"/>
  <c r="AI42" i="21" s="1"/>
  <c r="X51" i="21"/>
  <c r="Y51" i="21" s="1"/>
  <c r="Y20" i="21"/>
  <c r="X20" i="21"/>
  <c r="N71" i="21"/>
  <c r="O71" i="21" s="1"/>
  <c r="X69" i="21"/>
  <c r="Y69" i="21" s="1"/>
  <c r="N77" i="21"/>
  <c r="O77" i="21" s="1"/>
  <c r="Y76" i="21"/>
  <c r="X76" i="21"/>
  <c r="X56" i="21"/>
  <c r="Y56" i="21" s="1"/>
  <c r="X74" i="21"/>
  <c r="Y74" i="21" s="1"/>
  <c r="AH74" i="21" s="1"/>
  <c r="AI74" i="21" s="1"/>
  <c r="N67" i="21"/>
  <c r="O67" i="21" s="1"/>
  <c r="O74" i="21"/>
  <c r="N74" i="21"/>
  <c r="N57" i="21"/>
  <c r="O57" i="21" s="1"/>
  <c r="AH57" i="21" s="1"/>
  <c r="AI57" i="21" s="1"/>
  <c r="X70" i="21"/>
  <c r="Y70" i="21" s="1"/>
  <c r="AH70" i="21" s="1"/>
  <c r="AI70" i="21" s="1"/>
  <c r="X17" i="21"/>
  <c r="Y17" i="21" s="1"/>
  <c r="AH17" i="21" s="1"/>
  <c r="AI17" i="21" s="1"/>
  <c r="O72" i="21"/>
  <c r="N72" i="21"/>
  <c r="N69" i="21"/>
  <c r="O69" i="21" s="1"/>
  <c r="N54" i="21"/>
  <c r="O54" i="21" s="1"/>
  <c r="AH54" i="21" s="1"/>
  <c r="AI54" i="21" s="1"/>
  <c r="X28" i="21"/>
  <c r="Y28" i="21" s="1"/>
  <c r="Y72" i="21"/>
  <c r="X72" i="21"/>
  <c r="X55" i="21"/>
  <c r="Y55" i="21" s="1"/>
  <c r="AH55" i="21" s="1"/>
  <c r="AI55" i="21" s="1"/>
  <c r="X26" i="21"/>
  <c r="Y26" i="21" s="1"/>
  <c r="N51" i="21"/>
  <c r="O51" i="21" s="1"/>
  <c r="O47" i="21"/>
  <c r="N47" i="21"/>
  <c r="N28" i="21"/>
  <c r="O28" i="21" s="1"/>
  <c r="X52" i="21"/>
  <c r="Y52" i="21" s="1"/>
  <c r="X38" i="21"/>
  <c r="Y38" i="21" s="1"/>
  <c r="Y19" i="21"/>
  <c r="AH19" i="21" s="1"/>
  <c r="AI19" i="21" s="1"/>
  <c r="X19" i="21"/>
  <c r="X50" i="21"/>
  <c r="Y50" i="21" s="1"/>
  <c r="N20" i="21"/>
  <c r="O20" i="21" s="1"/>
  <c r="AH20" i="21" s="1"/>
  <c r="AI20" i="21" s="1"/>
  <c r="N62" i="21"/>
  <c r="O62" i="21" s="1"/>
  <c r="Y62" i="21"/>
  <c r="AH62" i="21" s="1"/>
  <c r="AI62" i="21" s="1"/>
  <c r="X62" i="21"/>
  <c r="X65" i="21"/>
  <c r="Y65" i="21" s="1"/>
  <c r="AH65" i="21" s="1"/>
  <c r="AI65" i="21" s="1"/>
  <c r="N26" i="21"/>
  <c r="O26" i="21" s="1"/>
  <c r="AH26" i="21" s="1"/>
  <c r="AI26" i="21" s="1"/>
  <c r="X21" i="21"/>
  <c r="Y21" i="21" s="1"/>
  <c r="O61" i="21"/>
  <c r="N61" i="21"/>
  <c r="N45" i="21"/>
  <c r="O45" i="21" s="1"/>
  <c r="AH45" i="21" s="1"/>
  <c r="AI45" i="21" s="1"/>
  <c r="X29" i="21"/>
  <c r="Y29" i="21" s="1"/>
  <c r="X78" i="21"/>
  <c r="Y78" i="21" s="1"/>
  <c r="AH78" i="21" s="1"/>
  <c r="AI78" i="21" s="1"/>
  <c r="Y24" i="21"/>
  <c r="AH24" i="21" s="1"/>
  <c r="AI24" i="21" s="1"/>
  <c r="X24" i="21"/>
  <c r="X35" i="21"/>
  <c r="Y35" i="21" s="1"/>
  <c r="N59" i="21"/>
  <c r="O59" i="21" s="1"/>
  <c r="AH59" i="21" s="1"/>
  <c r="AI59" i="21" s="1"/>
  <c r="N19" i="21"/>
  <c r="O19" i="21" s="1"/>
  <c r="O42" i="21"/>
  <c r="N42" i="21"/>
  <c r="N73" i="21"/>
  <c r="O73" i="21" s="1"/>
  <c r="X53" i="21"/>
  <c r="Y53" i="21" s="1"/>
  <c r="X64" i="21"/>
  <c r="Y64" i="21" s="1"/>
  <c r="AH64" i="21" s="1"/>
  <c r="AI64" i="21" s="1"/>
  <c r="Y41" i="21"/>
  <c r="X41" i="21"/>
  <c r="X59" i="21"/>
  <c r="Y59" i="21" s="1"/>
  <c r="N64" i="21"/>
  <c r="O64" i="21" s="1"/>
  <c r="N56" i="21"/>
  <c r="O56" i="21" s="1"/>
  <c r="O76" i="21"/>
  <c r="N76" i="21"/>
  <c r="N44" i="21"/>
  <c r="O44" i="21" s="1"/>
  <c r="N21" i="21"/>
  <c r="O21" i="21" s="1"/>
  <c r="N24" i="21"/>
  <c r="O24" i="21" s="1"/>
  <c r="O70" i="21"/>
  <c r="N70" i="21"/>
  <c r="X60" i="21"/>
  <c r="Y60" i="21" s="1"/>
  <c r="X61" i="21"/>
  <c r="Y61" i="21" s="1"/>
  <c r="X46" i="21"/>
  <c r="Y46" i="21" s="1"/>
  <c r="Y23" i="21"/>
  <c r="AH23" i="21" s="1"/>
  <c r="AI23" i="21" s="1"/>
  <c r="X23" i="21"/>
  <c r="X49" i="21"/>
  <c r="Y49" i="21" s="1"/>
  <c r="X58" i="21"/>
  <c r="Y58" i="21" s="1"/>
  <c r="X67" i="21"/>
  <c r="Y67" i="21" s="1"/>
  <c r="X38" i="15"/>
  <c r="Y38" i="15" s="1"/>
  <c r="X74" i="15"/>
  <c r="Y74" i="15" s="1"/>
  <c r="X22" i="15"/>
  <c r="Y22" i="15" s="1"/>
  <c r="X42" i="15"/>
  <c r="Y42" i="15" s="1"/>
  <c r="X40" i="15"/>
  <c r="Y40" i="15" s="1"/>
  <c r="X29" i="15"/>
  <c r="Y29" i="15" s="1"/>
  <c r="X24" i="15"/>
  <c r="Y24" i="15" s="1"/>
  <c r="X71" i="15"/>
  <c r="Y71" i="15" s="1"/>
  <c r="X17" i="15"/>
  <c r="Y17" i="15" s="1"/>
  <c r="X66" i="15"/>
  <c r="Y66" i="15" s="1"/>
  <c r="X31" i="15"/>
  <c r="Y31" i="15" s="1"/>
  <c r="X78" i="15"/>
  <c r="Y78" i="15" s="1"/>
  <c r="X65" i="15"/>
  <c r="Y65" i="15" s="1"/>
  <c r="X33" i="15"/>
  <c r="Y33" i="15" s="1"/>
  <c r="X45" i="15"/>
  <c r="Y45" i="15" s="1"/>
  <c r="X26" i="15"/>
  <c r="Y26" i="15" s="1"/>
  <c r="X61" i="15"/>
  <c r="Y61" i="15" s="1"/>
  <c r="X77" i="15"/>
  <c r="Y77" i="15" s="1"/>
  <c r="X30" i="15"/>
  <c r="Y30" i="15" s="1"/>
  <c r="X51" i="15"/>
  <c r="Y51" i="15" s="1"/>
  <c r="X28" i="15"/>
  <c r="Y28" i="15" s="1"/>
  <c r="X72" i="15"/>
  <c r="Y72" i="15" s="1"/>
  <c r="X49" i="15"/>
  <c r="Y49" i="15" s="1"/>
  <c r="X19" i="15"/>
  <c r="Y19" i="15" s="1"/>
  <c r="X44" i="15"/>
  <c r="Y44" i="15" s="1"/>
  <c r="X48" i="15"/>
  <c r="Y48" i="15" s="1"/>
  <c r="X46" i="15"/>
  <c r="Y46" i="15" s="1"/>
  <c r="X52" i="15"/>
  <c r="Y52" i="15" s="1"/>
  <c r="X50" i="15"/>
  <c r="Y50" i="15" s="1"/>
  <c r="X67" i="15"/>
  <c r="Y67" i="15" s="1"/>
  <c r="X37" i="15"/>
  <c r="Y37" i="15" s="1"/>
  <c r="X25" i="15"/>
  <c r="Y25" i="15" s="1"/>
  <c r="X21" i="15"/>
  <c r="Y21" i="15" s="1"/>
  <c r="X58" i="15"/>
  <c r="Y58" i="15" s="1"/>
  <c r="X32" i="15"/>
  <c r="Y32" i="15" s="1"/>
  <c r="X54" i="15"/>
  <c r="Y54" i="15" s="1"/>
  <c r="X23" i="15"/>
  <c r="Y23" i="15" s="1"/>
  <c r="X73" i="15"/>
  <c r="Y73" i="15" s="1"/>
  <c r="X53" i="15"/>
  <c r="Y53" i="15" s="1"/>
  <c r="X35" i="15"/>
  <c r="Y35" i="15" s="1"/>
  <c r="X41" i="15"/>
  <c r="Y41" i="15" s="1"/>
  <c r="X63" i="15"/>
  <c r="Y63" i="15" s="1"/>
  <c r="X70" i="15"/>
  <c r="Y70" i="15" s="1"/>
  <c r="X64" i="15"/>
  <c r="Y64" i="15" s="1"/>
  <c r="X34" i="15"/>
  <c r="Y34" i="15" s="1"/>
  <c r="X60" i="15"/>
  <c r="Y60" i="15" s="1"/>
  <c r="X39" i="15"/>
  <c r="Y39" i="15" s="1"/>
  <c r="X69" i="15"/>
  <c r="Y69" i="15" s="1"/>
  <c r="X57" i="15"/>
  <c r="Y57" i="15" s="1"/>
  <c r="X76" i="15"/>
  <c r="Y76" i="15" s="1"/>
  <c r="X68" i="15"/>
  <c r="Y68" i="15" s="1"/>
  <c r="X36" i="15"/>
  <c r="Y36" i="15" s="1"/>
  <c r="X62" i="15"/>
  <c r="Y62" i="15" s="1"/>
  <c r="X47" i="15"/>
  <c r="Y47" i="15" s="1"/>
  <c r="X55" i="15"/>
  <c r="Y55" i="15" s="1"/>
  <c r="X20" i="15"/>
  <c r="Y20" i="15" s="1"/>
  <c r="N25" i="21"/>
  <c r="O25" i="21" s="1"/>
  <c r="AH76" i="21"/>
  <c r="AI76" i="21" s="1"/>
  <c r="B83" i="22"/>
  <c r="AF78" i="22"/>
  <c r="AD78" i="22"/>
  <c r="Z78" i="22"/>
  <c r="AB78" i="22" s="1"/>
  <c r="U78" i="22"/>
  <c r="L78" i="22"/>
  <c r="E78" i="22"/>
  <c r="D78" i="22"/>
  <c r="C78" i="22"/>
  <c r="B78" i="22"/>
  <c r="A78" i="22"/>
  <c r="AF77" i="22"/>
  <c r="AD77" i="22"/>
  <c r="Z77" i="22"/>
  <c r="AB77" i="22" s="1"/>
  <c r="U77" i="22"/>
  <c r="L77" i="22"/>
  <c r="E77" i="22"/>
  <c r="D77" i="22"/>
  <c r="C77" i="22"/>
  <c r="B77" i="22"/>
  <c r="A77" i="22"/>
  <c r="AF76" i="22"/>
  <c r="AD76" i="22"/>
  <c r="Z76" i="22"/>
  <c r="AB76" i="22" s="1"/>
  <c r="U76" i="22"/>
  <c r="L76" i="22"/>
  <c r="E76" i="22"/>
  <c r="D76" i="22"/>
  <c r="C76" i="22"/>
  <c r="B76" i="22"/>
  <c r="A76" i="22"/>
  <c r="AF75" i="22"/>
  <c r="AD75" i="22"/>
  <c r="Z75" i="22"/>
  <c r="AB75" i="22" s="1"/>
  <c r="U75" i="22"/>
  <c r="L75" i="22"/>
  <c r="E75" i="22"/>
  <c r="D75" i="22"/>
  <c r="C75" i="22"/>
  <c r="B75" i="22"/>
  <c r="A75" i="22"/>
  <c r="AF74" i="22"/>
  <c r="AD74" i="22"/>
  <c r="Z74" i="22"/>
  <c r="AB74" i="22" s="1"/>
  <c r="U74" i="22"/>
  <c r="L74" i="22"/>
  <c r="E74" i="22"/>
  <c r="D74" i="22"/>
  <c r="C74" i="22"/>
  <c r="B74" i="22"/>
  <c r="A74" i="22"/>
  <c r="AF73" i="22"/>
  <c r="AD73" i="22"/>
  <c r="Z73" i="22"/>
  <c r="AB73" i="22" s="1"/>
  <c r="U73" i="22"/>
  <c r="L73" i="22"/>
  <c r="E73" i="22"/>
  <c r="D73" i="22"/>
  <c r="C73" i="22"/>
  <c r="B73" i="22"/>
  <c r="A73" i="22"/>
  <c r="AF72" i="22"/>
  <c r="AD72" i="22"/>
  <c r="Z72" i="22"/>
  <c r="AB72" i="22" s="1"/>
  <c r="U72" i="22"/>
  <c r="L72" i="22"/>
  <c r="E72" i="22"/>
  <c r="D72" i="22"/>
  <c r="C72" i="22"/>
  <c r="B72" i="22"/>
  <c r="A72" i="22"/>
  <c r="AF71" i="22"/>
  <c r="AD71" i="22"/>
  <c r="Z71" i="22"/>
  <c r="AB71" i="22" s="1"/>
  <c r="U71" i="22"/>
  <c r="L71" i="22"/>
  <c r="E71" i="22"/>
  <c r="D71" i="22"/>
  <c r="C71" i="22"/>
  <c r="B71" i="22"/>
  <c r="A71" i="22"/>
  <c r="AF70" i="22"/>
  <c r="AD70" i="22"/>
  <c r="Z70" i="22"/>
  <c r="AB70" i="22" s="1"/>
  <c r="U70" i="22"/>
  <c r="L70" i="22"/>
  <c r="E70" i="22"/>
  <c r="D70" i="22"/>
  <c r="C70" i="22"/>
  <c r="B70" i="22"/>
  <c r="A70" i="22"/>
  <c r="AF69" i="22"/>
  <c r="AD69" i="22"/>
  <c r="Z69" i="22"/>
  <c r="AB69" i="22" s="1"/>
  <c r="U69" i="22"/>
  <c r="L69" i="22"/>
  <c r="E69" i="22"/>
  <c r="D69" i="22"/>
  <c r="C69" i="22"/>
  <c r="B69" i="22"/>
  <c r="A69" i="22"/>
  <c r="AF68" i="22"/>
  <c r="AD68" i="22"/>
  <c r="Z68" i="22"/>
  <c r="AB68" i="22" s="1"/>
  <c r="U68" i="22"/>
  <c r="L68" i="22"/>
  <c r="E68" i="22"/>
  <c r="D68" i="22"/>
  <c r="C68" i="22"/>
  <c r="B68" i="22"/>
  <c r="A68" i="22"/>
  <c r="AF67" i="22"/>
  <c r="AD67" i="22"/>
  <c r="Z67" i="22"/>
  <c r="AB67" i="22" s="1"/>
  <c r="U67" i="22"/>
  <c r="L67" i="22"/>
  <c r="E67" i="22"/>
  <c r="D67" i="22"/>
  <c r="C67" i="22"/>
  <c r="B67" i="22"/>
  <c r="A67" i="22"/>
  <c r="AF66" i="22"/>
  <c r="AD66" i="22"/>
  <c r="Z66" i="22"/>
  <c r="AB66" i="22" s="1"/>
  <c r="U66" i="22"/>
  <c r="L66" i="22"/>
  <c r="E66" i="22"/>
  <c r="D66" i="22"/>
  <c r="C66" i="22"/>
  <c r="B66" i="22"/>
  <c r="A66" i="22"/>
  <c r="AF65" i="22"/>
  <c r="AD65" i="22"/>
  <c r="Z65" i="22"/>
  <c r="AB65" i="22" s="1"/>
  <c r="U65" i="22"/>
  <c r="L65" i="22"/>
  <c r="E65" i="22"/>
  <c r="D65" i="22"/>
  <c r="C65" i="22"/>
  <c r="B65" i="22"/>
  <c r="A65" i="22"/>
  <c r="AF64" i="22"/>
  <c r="AD64" i="22"/>
  <c r="Z64" i="22"/>
  <c r="AB64" i="22" s="1"/>
  <c r="U64" i="22"/>
  <c r="L64" i="22"/>
  <c r="E64" i="22"/>
  <c r="D64" i="22"/>
  <c r="C64" i="22"/>
  <c r="B64" i="22"/>
  <c r="A64" i="22"/>
  <c r="AF63" i="22"/>
  <c r="AD63" i="22"/>
  <c r="Z63" i="22"/>
  <c r="AB63" i="22" s="1"/>
  <c r="U63" i="22"/>
  <c r="L63" i="22"/>
  <c r="E63" i="22"/>
  <c r="D63" i="22"/>
  <c r="C63" i="22"/>
  <c r="B63" i="22"/>
  <c r="A63" i="22"/>
  <c r="AF62" i="22"/>
  <c r="AD62" i="22"/>
  <c r="Z62" i="22"/>
  <c r="AB62" i="22" s="1"/>
  <c r="U62" i="22"/>
  <c r="L62" i="22"/>
  <c r="E62" i="22"/>
  <c r="D62" i="22"/>
  <c r="C62" i="22"/>
  <c r="B62" i="22"/>
  <c r="A62" i="22"/>
  <c r="AF61" i="22"/>
  <c r="AD61" i="22"/>
  <c r="Z61" i="22"/>
  <c r="AB61" i="22" s="1"/>
  <c r="U61" i="22"/>
  <c r="L61" i="22"/>
  <c r="E61" i="22"/>
  <c r="D61" i="22"/>
  <c r="C61" i="22"/>
  <c r="B61" i="22"/>
  <c r="A61" i="22"/>
  <c r="AF60" i="22"/>
  <c r="AD60" i="22"/>
  <c r="Z60" i="22"/>
  <c r="AB60" i="22" s="1"/>
  <c r="U60" i="22"/>
  <c r="L60" i="22"/>
  <c r="E60" i="22"/>
  <c r="D60" i="22"/>
  <c r="C60" i="22"/>
  <c r="B60" i="22"/>
  <c r="A60" i="22"/>
  <c r="AF59" i="22"/>
  <c r="AD59" i="22"/>
  <c r="Z59" i="22"/>
  <c r="AB59" i="22" s="1"/>
  <c r="U59" i="22"/>
  <c r="L59" i="22"/>
  <c r="E59" i="22"/>
  <c r="D59" i="22"/>
  <c r="C59" i="22"/>
  <c r="B59" i="22"/>
  <c r="A59" i="22"/>
  <c r="AF58" i="22"/>
  <c r="AD58" i="22"/>
  <c r="Z58" i="22"/>
  <c r="AB58" i="22" s="1"/>
  <c r="U58" i="22"/>
  <c r="L58" i="22"/>
  <c r="E58" i="22"/>
  <c r="D58" i="22"/>
  <c r="C58" i="22"/>
  <c r="B58" i="22"/>
  <c r="A58" i="22"/>
  <c r="AD57" i="22"/>
  <c r="AF57" i="22" s="1"/>
  <c r="Z57" i="22"/>
  <c r="AB57" i="22" s="1"/>
  <c r="U57" i="22"/>
  <c r="L57" i="22"/>
  <c r="E57" i="22"/>
  <c r="D57" i="22"/>
  <c r="C57" i="22"/>
  <c r="B57" i="22"/>
  <c r="A57" i="22"/>
  <c r="AD56" i="22"/>
  <c r="AF56" i="22" s="1"/>
  <c r="Z56" i="22"/>
  <c r="AB56" i="22" s="1"/>
  <c r="U56" i="22"/>
  <c r="L56" i="22"/>
  <c r="E56" i="22"/>
  <c r="D56" i="22"/>
  <c r="C56" i="22"/>
  <c r="B56" i="22"/>
  <c r="A56" i="22"/>
  <c r="AF55" i="22"/>
  <c r="AD55" i="22"/>
  <c r="Z55" i="22"/>
  <c r="AB55" i="22" s="1"/>
  <c r="U55" i="22"/>
  <c r="L55" i="22"/>
  <c r="E55" i="22"/>
  <c r="D55" i="22"/>
  <c r="C55" i="22"/>
  <c r="B55" i="22"/>
  <c r="A55" i="22"/>
  <c r="AD54" i="22"/>
  <c r="AF54" i="22" s="1"/>
  <c r="Z54" i="22"/>
  <c r="AB54" i="22" s="1"/>
  <c r="U54" i="22"/>
  <c r="L54" i="22"/>
  <c r="E54" i="22"/>
  <c r="D54" i="22"/>
  <c r="C54" i="22"/>
  <c r="B54" i="22"/>
  <c r="A54" i="22"/>
  <c r="AD53" i="22"/>
  <c r="AF53" i="22" s="1"/>
  <c r="AB53" i="22"/>
  <c r="Z53" i="22"/>
  <c r="U53" i="22"/>
  <c r="L53" i="22"/>
  <c r="E53" i="22"/>
  <c r="D53" i="22"/>
  <c r="C53" i="22"/>
  <c r="B53" i="22"/>
  <c r="A53" i="22"/>
  <c r="AD52" i="22"/>
  <c r="AF52" i="22" s="1"/>
  <c r="AB52" i="22"/>
  <c r="Z52" i="22"/>
  <c r="U52" i="22"/>
  <c r="L52" i="22"/>
  <c r="E52" i="22"/>
  <c r="D52" i="22"/>
  <c r="C52" i="22"/>
  <c r="B52" i="22"/>
  <c r="A52" i="22"/>
  <c r="AF51" i="22"/>
  <c r="AD51" i="22"/>
  <c r="Z51" i="22"/>
  <c r="AB51" i="22" s="1"/>
  <c r="U51" i="22"/>
  <c r="L51" i="22"/>
  <c r="E51" i="22"/>
  <c r="D51" i="22"/>
  <c r="C51" i="22"/>
  <c r="B51" i="22"/>
  <c r="A51" i="22"/>
  <c r="AF50" i="22"/>
  <c r="AD50" i="22"/>
  <c r="AB50" i="22"/>
  <c r="Z50" i="22"/>
  <c r="U50" i="22"/>
  <c r="L50" i="22"/>
  <c r="E50" i="22"/>
  <c r="D50" i="22"/>
  <c r="C50" i="22"/>
  <c r="B50" i="22"/>
  <c r="A50" i="22"/>
  <c r="AF49" i="22"/>
  <c r="AD49" i="22"/>
  <c r="AB49" i="22"/>
  <c r="Z49" i="22"/>
  <c r="U49" i="22"/>
  <c r="L49" i="22"/>
  <c r="E49" i="22"/>
  <c r="D49" i="22"/>
  <c r="C49" i="22"/>
  <c r="B49" i="22"/>
  <c r="A49" i="22"/>
  <c r="AF48" i="22"/>
  <c r="AD48" i="22"/>
  <c r="AB48" i="22"/>
  <c r="Z48" i="22"/>
  <c r="U48" i="22"/>
  <c r="L48" i="22"/>
  <c r="E48" i="22"/>
  <c r="D48" i="22"/>
  <c r="C48" i="22"/>
  <c r="B48" i="22"/>
  <c r="A48" i="22"/>
  <c r="AF47" i="22"/>
  <c r="AD47" i="22"/>
  <c r="AB47" i="22"/>
  <c r="Z47" i="22"/>
  <c r="U47" i="22"/>
  <c r="L47" i="22"/>
  <c r="E47" i="22"/>
  <c r="D47" i="22"/>
  <c r="C47" i="22"/>
  <c r="B47" i="22"/>
  <c r="A47" i="22"/>
  <c r="AF46" i="22"/>
  <c r="AD46" i="22"/>
  <c r="AB46" i="22"/>
  <c r="Z46" i="22"/>
  <c r="U46" i="22"/>
  <c r="L46" i="22"/>
  <c r="E46" i="22"/>
  <c r="D46" i="22"/>
  <c r="C46" i="22"/>
  <c r="B46" i="22"/>
  <c r="A46" i="22"/>
  <c r="AF45" i="22"/>
  <c r="AD45" i="22"/>
  <c r="AB45" i="22"/>
  <c r="Z45" i="22"/>
  <c r="U45" i="22"/>
  <c r="L45" i="22"/>
  <c r="E45" i="22"/>
  <c r="D45" i="22"/>
  <c r="C45" i="22"/>
  <c r="B45" i="22"/>
  <c r="A45" i="22"/>
  <c r="AF44" i="22"/>
  <c r="AD44" i="22"/>
  <c r="AB44" i="22"/>
  <c r="Z44" i="22"/>
  <c r="U44" i="22"/>
  <c r="L44" i="22"/>
  <c r="E44" i="22"/>
  <c r="D44" i="22"/>
  <c r="C44" i="22"/>
  <c r="B44" i="22"/>
  <c r="A44" i="22"/>
  <c r="AF43" i="22"/>
  <c r="AD43" i="22"/>
  <c r="AB43" i="22"/>
  <c r="Z43" i="22"/>
  <c r="U43" i="22"/>
  <c r="L43" i="22"/>
  <c r="E43" i="22"/>
  <c r="D43" i="22"/>
  <c r="C43" i="22"/>
  <c r="B43" i="22"/>
  <c r="A43" i="22"/>
  <c r="AF42" i="22"/>
  <c r="AD42" i="22"/>
  <c r="AB42" i="22"/>
  <c r="Z42" i="22"/>
  <c r="U42" i="22"/>
  <c r="L42" i="22"/>
  <c r="E42" i="22"/>
  <c r="D42" i="22"/>
  <c r="C42" i="22"/>
  <c r="B42" i="22"/>
  <c r="A42" i="22"/>
  <c r="AF41" i="22"/>
  <c r="AD41" i="22"/>
  <c r="AB41" i="22"/>
  <c r="Z41" i="22"/>
  <c r="U41" i="22"/>
  <c r="L41" i="22"/>
  <c r="E41" i="22"/>
  <c r="D41" i="22"/>
  <c r="C41" i="22"/>
  <c r="B41" i="22"/>
  <c r="A41" i="22"/>
  <c r="AF40" i="22"/>
  <c r="AD40" i="22"/>
  <c r="AB40" i="22"/>
  <c r="Z40" i="22"/>
  <c r="U40" i="22"/>
  <c r="L40" i="22"/>
  <c r="E40" i="22"/>
  <c r="D40" i="22"/>
  <c r="C40" i="22"/>
  <c r="B40" i="22"/>
  <c r="A40" i="22"/>
  <c r="AF39" i="22"/>
  <c r="AD39" i="22"/>
  <c r="AB39" i="22"/>
  <c r="Z39" i="22"/>
  <c r="U39" i="22"/>
  <c r="L39" i="22"/>
  <c r="E39" i="22"/>
  <c r="D39" i="22"/>
  <c r="C39" i="22"/>
  <c r="B39" i="22"/>
  <c r="A39" i="22"/>
  <c r="AF38" i="22"/>
  <c r="AD38" i="22"/>
  <c r="AB38" i="22"/>
  <c r="Z38" i="22"/>
  <c r="U38" i="22"/>
  <c r="L38" i="22"/>
  <c r="E38" i="22"/>
  <c r="D38" i="22"/>
  <c r="C38" i="22"/>
  <c r="B38" i="22"/>
  <c r="A38" i="22"/>
  <c r="AF37" i="22"/>
  <c r="AD37" i="22"/>
  <c r="AB37" i="22"/>
  <c r="Z37" i="22"/>
  <c r="U37" i="22"/>
  <c r="L37" i="22"/>
  <c r="E37" i="22"/>
  <c r="D37" i="22"/>
  <c r="C37" i="22"/>
  <c r="B37" i="22"/>
  <c r="A37" i="22"/>
  <c r="AF36" i="22"/>
  <c r="AD36" i="22"/>
  <c r="AB36" i="22"/>
  <c r="Z36" i="22"/>
  <c r="U36" i="22"/>
  <c r="L36" i="22"/>
  <c r="E36" i="22"/>
  <c r="D36" i="22"/>
  <c r="C36" i="22"/>
  <c r="B36" i="22"/>
  <c r="A36" i="22"/>
  <c r="AF35" i="22"/>
  <c r="AD35" i="22"/>
  <c r="AB35" i="22"/>
  <c r="Z35" i="22"/>
  <c r="U35" i="22"/>
  <c r="L35" i="22"/>
  <c r="E35" i="22"/>
  <c r="D35" i="22"/>
  <c r="C35" i="22"/>
  <c r="B35" i="22"/>
  <c r="A35" i="22"/>
  <c r="AF34" i="22"/>
  <c r="AD34" i="22"/>
  <c r="AB34" i="22"/>
  <c r="Z34" i="22"/>
  <c r="U34" i="22"/>
  <c r="L34" i="22"/>
  <c r="E34" i="22"/>
  <c r="D34" i="22"/>
  <c r="C34" i="22"/>
  <c r="B34" i="22"/>
  <c r="A34" i="22"/>
  <c r="AF33" i="22"/>
  <c r="AD33" i="22"/>
  <c r="AB33" i="22"/>
  <c r="Z33" i="22"/>
  <c r="U33" i="22"/>
  <c r="L33" i="22"/>
  <c r="E33" i="22"/>
  <c r="D33" i="22"/>
  <c r="C33" i="22"/>
  <c r="B33" i="22"/>
  <c r="A33" i="22"/>
  <c r="AF32" i="22"/>
  <c r="AD32" i="22"/>
  <c r="AB32" i="22"/>
  <c r="Z32" i="22"/>
  <c r="U32" i="22"/>
  <c r="L32" i="22"/>
  <c r="E32" i="22"/>
  <c r="D32" i="22"/>
  <c r="C32" i="22"/>
  <c r="B32" i="22"/>
  <c r="A32" i="22"/>
  <c r="AF31" i="22"/>
  <c r="AD31" i="22"/>
  <c r="AB31" i="22"/>
  <c r="Z31" i="22"/>
  <c r="U31" i="22"/>
  <c r="L31" i="22"/>
  <c r="E31" i="22"/>
  <c r="D31" i="22"/>
  <c r="C31" i="22"/>
  <c r="B31" i="22"/>
  <c r="A31" i="22"/>
  <c r="AF30" i="22"/>
  <c r="AD30" i="22"/>
  <c r="AB30" i="22"/>
  <c r="Z30" i="22"/>
  <c r="U30" i="22"/>
  <c r="L30" i="22"/>
  <c r="E30" i="22"/>
  <c r="D30" i="22"/>
  <c r="C30" i="22"/>
  <c r="B30" i="22"/>
  <c r="A30" i="22"/>
  <c r="AF29" i="22"/>
  <c r="AD29" i="22"/>
  <c r="AB29" i="22"/>
  <c r="Z29" i="22"/>
  <c r="U29" i="22"/>
  <c r="L29" i="22"/>
  <c r="E29" i="22"/>
  <c r="D29" i="22"/>
  <c r="C29" i="22"/>
  <c r="B29" i="22"/>
  <c r="A29" i="22"/>
  <c r="AF28" i="22"/>
  <c r="AD28" i="22"/>
  <c r="Z28" i="22"/>
  <c r="AB28" i="22" s="1"/>
  <c r="U28" i="22"/>
  <c r="L28" i="22"/>
  <c r="E28" i="22"/>
  <c r="D28" i="22"/>
  <c r="C28" i="22"/>
  <c r="B28" i="22"/>
  <c r="A28" i="22"/>
  <c r="AF27" i="22"/>
  <c r="AD27" i="22"/>
  <c r="Z27" i="22"/>
  <c r="AB27" i="22" s="1"/>
  <c r="U27" i="22"/>
  <c r="L27" i="22"/>
  <c r="E27" i="22"/>
  <c r="D27" i="22"/>
  <c r="C27" i="22"/>
  <c r="B27" i="22"/>
  <c r="A27" i="22"/>
  <c r="AF26" i="22"/>
  <c r="AD26" i="22"/>
  <c r="Z26" i="22"/>
  <c r="AB26" i="22" s="1"/>
  <c r="U26" i="22"/>
  <c r="L26" i="22"/>
  <c r="E26" i="22"/>
  <c r="D26" i="22"/>
  <c r="C26" i="22"/>
  <c r="B26" i="22"/>
  <c r="A26" i="22"/>
  <c r="AF25" i="22"/>
  <c r="AD25" i="22"/>
  <c r="Z25" i="22"/>
  <c r="AB25" i="22" s="1"/>
  <c r="U25" i="22"/>
  <c r="L25" i="22"/>
  <c r="E25" i="22"/>
  <c r="D25" i="22"/>
  <c r="C25" i="22"/>
  <c r="B25" i="22"/>
  <c r="A25" i="22"/>
  <c r="AF24" i="22"/>
  <c r="AD24" i="22"/>
  <c r="Z24" i="22"/>
  <c r="AB24" i="22" s="1"/>
  <c r="U24" i="22"/>
  <c r="L24" i="22"/>
  <c r="E24" i="22"/>
  <c r="D24" i="22"/>
  <c r="C24" i="22"/>
  <c r="B24" i="22"/>
  <c r="A24" i="22"/>
  <c r="AF23" i="22"/>
  <c r="AD23" i="22"/>
  <c r="Z23" i="22"/>
  <c r="AB23" i="22" s="1"/>
  <c r="U23" i="22"/>
  <c r="L23" i="22"/>
  <c r="E23" i="22"/>
  <c r="D23" i="22"/>
  <c r="C23" i="22"/>
  <c r="B23" i="22"/>
  <c r="A23" i="22"/>
  <c r="AF22" i="22"/>
  <c r="AD22" i="22"/>
  <c r="Z22" i="22"/>
  <c r="AB22" i="22" s="1"/>
  <c r="U22" i="22"/>
  <c r="V22" i="22" s="1"/>
  <c r="W22" i="22" s="1"/>
  <c r="L22" i="22"/>
  <c r="E22" i="22"/>
  <c r="D22" i="22"/>
  <c r="C22" i="22"/>
  <c r="B22" i="22"/>
  <c r="A22" i="22"/>
  <c r="AF21" i="22"/>
  <c r="AD21" i="22"/>
  <c r="Z21" i="22"/>
  <c r="AB21" i="22" s="1"/>
  <c r="U21" i="22"/>
  <c r="L21" i="22"/>
  <c r="E21" i="22"/>
  <c r="D21" i="22"/>
  <c r="C21" i="22"/>
  <c r="B21" i="22"/>
  <c r="A21" i="22"/>
  <c r="AF20" i="22"/>
  <c r="AD20" i="22"/>
  <c r="Z20" i="22"/>
  <c r="AB20" i="22" s="1"/>
  <c r="U20" i="22"/>
  <c r="L20" i="22"/>
  <c r="E20" i="22"/>
  <c r="D20" i="22"/>
  <c r="C20" i="22"/>
  <c r="B20" i="22"/>
  <c r="A20" i="22"/>
  <c r="AD19" i="22"/>
  <c r="Z19" i="22"/>
  <c r="AA19" i="22" s="1"/>
  <c r="U19" i="22"/>
  <c r="L19" i="22"/>
  <c r="E19" i="22"/>
  <c r="D19" i="22"/>
  <c r="C19" i="22"/>
  <c r="B19" i="22"/>
  <c r="A19" i="22"/>
  <c r="AF17" i="22"/>
  <c r="AD17" i="22"/>
  <c r="Z17" i="22"/>
  <c r="AB17" i="22" s="1"/>
  <c r="U17" i="22"/>
  <c r="V42" i="22" s="1"/>
  <c r="W42" i="22" s="1"/>
  <c r="L17" i="22"/>
  <c r="M66" i="22" s="1"/>
  <c r="N66" i="22" s="1"/>
  <c r="E78" i="21"/>
  <c r="D78" i="21"/>
  <c r="C78" i="21"/>
  <c r="B78" i="21"/>
  <c r="A78" i="21"/>
  <c r="E77" i="21"/>
  <c r="D77" i="21"/>
  <c r="C77" i="21"/>
  <c r="B77" i="21"/>
  <c r="A77" i="21"/>
  <c r="E76" i="21"/>
  <c r="D76" i="21"/>
  <c r="C76" i="21"/>
  <c r="B76" i="21"/>
  <c r="A76" i="21"/>
  <c r="E75" i="21"/>
  <c r="D75" i="21"/>
  <c r="C75" i="21"/>
  <c r="B75" i="21"/>
  <c r="A75" i="21"/>
  <c r="E74" i="21"/>
  <c r="D74" i="21"/>
  <c r="C74" i="21"/>
  <c r="B74" i="21"/>
  <c r="A74" i="21"/>
  <c r="E73" i="21"/>
  <c r="D73" i="21"/>
  <c r="C73" i="21"/>
  <c r="B73" i="21"/>
  <c r="A73" i="21"/>
  <c r="E72" i="21"/>
  <c r="D72" i="21"/>
  <c r="C72" i="21"/>
  <c r="B72" i="21"/>
  <c r="A72" i="21"/>
  <c r="E71" i="21"/>
  <c r="D71" i="21"/>
  <c r="C71" i="21"/>
  <c r="B71" i="21"/>
  <c r="A71" i="21"/>
  <c r="E70" i="21"/>
  <c r="D70" i="21"/>
  <c r="C70" i="21"/>
  <c r="B70" i="21"/>
  <c r="A70" i="21"/>
  <c r="E69" i="21"/>
  <c r="D69" i="21"/>
  <c r="C69" i="21"/>
  <c r="B69" i="21"/>
  <c r="A69" i="21"/>
  <c r="E68" i="21"/>
  <c r="D68" i="21"/>
  <c r="C68" i="21"/>
  <c r="B68" i="21"/>
  <c r="A68" i="21"/>
  <c r="E67" i="21"/>
  <c r="D67" i="21"/>
  <c r="C67" i="21"/>
  <c r="B67" i="21"/>
  <c r="A67" i="21"/>
  <c r="E66" i="21"/>
  <c r="D66" i="21"/>
  <c r="C66" i="21"/>
  <c r="B66" i="21"/>
  <c r="A66" i="21"/>
  <c r="E65" i="21"/>
  <c r="D65" i="21"/>
  <c r="C65" i="21"/>
  <c r="B65" i="21"/>
  <c r="A65" i="21"/>
  <c r="E64" i="21"/>
  <c r="D64" i="21"/>
  <c r="C64" i="21"/>
  <c r="B64" i="21"/>
  <c r="A64" i="21"/>
  <c r="E63" i="21"/>
  <c r="D63" i="21"/>
  <c r="C63" i="21"/>
  <c r="B63" i="21"/>
  <c r="A63" i="21"/>
  <c r="E62" i="21"/>
  <c r="D62" i="21"/>
  <c r="C62" i="21"/>
  <c r="B62" i="21"/>
  <c r="A62" i="21"/>
  <c r="E61" i="21"/>
  <c r="D61" i="21"/>
  <c r="C61" i="21"/>
  <c r="B61" i="21"/>
  <c r="A61" i="21"/>
  <c r="E60" i="21"/>
  <c r="D60" i="21"/>
  <c r="C60" i="21"/>
  <c r="B60" i="21"/>
  <c r="A60" i="21"/>
  <c r="E59" i="21"/>
  <c r="D59" i="21"/>
  <c r="C59" i="21"/>
  <c r="B59" i="21"/>
  <c r="A59" i="21"/>
  <c r="E58" i="21"/>
  <c r="D58" i="21"/>
  <c r="C58" i="21"/>
  <c r="B58" i="21"/>
  <c r="A58" i="21"/>
  <c r="E57" i="21"/>
  <c r="D57" i="21"/>
  <c r="C57" i="21"/>
  <c r="B57" i="21"/>
  <c r="A57" i="21"/>
  <c r="E56" i="21"/>
  <c r="D56" i="21"/>
  <c r="C56" i="21"/>
  <c r="B56" i="21"/>
  <c r="A56" i="21"/>
  <c r="E55" i="21"/>
  <c r="D55" i="21"/>
  <c r="C55" i="21"/>
  <c r="B55" i="21"/>
  <c r="A55" i="21"/>
  <c r="E54" i="21"/>
  <c r="D54" i="21"/>
  <c r="C54" i="21"/>
  <c r="B54" i="21"/>
  <c r="A54" i="21"/>
  <c r="E53" i="21"/>
  <c r="D53" i="21"/>
  <c r="C53" i="21"/>
  <c r="B53" i="21"/>
  <c r="A53" i="21"/>
  <c r="E52" i="21"/>
  <c r="D52" i="21"/>
  <c r="C52" i="21"/>
  <c r="B52" i="21"/>
  <c r="A52" i="21"/>
  <c r="E51" i="21"/>
  <c r="D51" i="21"/>
  <c r="C51" i="21"/>
  <c r="B51" i="21"/>
  <c r="A51" i="21"/>
  <c r="E50" i="21"/>
  <c r="D50" i="21"/>
  <c r="C50" i="21"/>
  <c r="B50" i="21"/>
  <c r="A50" i="21"/>
  <c r="E49" i="21"/>
  <c r="D49" i="21"/>
  <c r="C49" i="21"/>
  <c r="B49" i="21"/>
  <c r="A49" i="21"/>
  <c r="E48" i="21"/>
  <c r="D48" i="21"/>
  <c r="C48" i="21"/>
  <c r="B48" i="21"/>
  <c r="A48" i="21"/>
  <c r="E47" i="21"/>
  <c r="D47" i="21"/>
  <c r="C47" i="21"/>
  <c r="B47" i="21"/>
  <c r="A47" i="21"/>
  <c r="E46" i="21"/>
  <c r="D46" i="21"/>
  <c r="C46" i="21"/>
  <c r="B46" i="21"/>
  <c r="A46" i="21"/>
  <c r="E45" i="21"/>
  <c r="D45" i="21"/>
  <c r="C45" i="21"/>
  <c r="B45" i="21"/>
  <c r="A45" i="21"/>
  <c r="E44" i="21"/>
  <c r="D44" i="21"/>
  <c r="C44" i="21"/>
  <c r="B44" i="21"/>
  <c r="A44" i="21"/>
  <c r="E43" i="21"/>
  <c r="D43" i="21"/>
  <c r="C43" i="21"/>
  <c r="B43" i="21"/>
  <c r="A43" i="21"/>
  <c r="E42" i="21"/>
  <c r="D42" i="21"/>
  <c r="C42" i="21"/>
  <c r="B42" i="21"/>
  <c r="A42" i="21"/>
  <c r="E41" i="21"/>
  <c r="D41" i="21"/>
  <c r="C41" i="21"/>
  <c r="B41" i="21"/>
  <c r="A41" i="21"/>
  <c r="E40" i="21"/>
  <c r="D40" i="21"/>
  <c r="C40" i="21"/>
  <c r="B40" i="21"/>
  <c r="A40" i="21"/>
  <c r="E39" i="21"/>
  <c r="D39" i="21"/>
  <c r="C39" i="21"/>
  <c r="B39" i="21"/>
  <c r="A39" i="21"/>
  <c r="E38" i="21"/>
  <c r="D38" i="21"/>
  <c r="C38" i="21"/>
  <c r="B38" i="21"/>
  <c r="A38" i="21"/>
  <c r="E37" i="21"/>
  <c r="D37" i="21"/>
  <c r="C37" i="21"/>
  <c r="B37" i="21"/>
  <c r="A37" i="21"/>
  <c r="E36" i="21"/>
  <c r="D36" i="21"/>
  <c r="C36" i="21"/>
  <c r="B36" i="21"/>
  <c r="A36" i="21"/>
  <c r="E35" i="21"/>
  <c r="D35" i="21"/>
  <c r="C35" i="21"/>
  <c r="B35" i="21"/>
  <c r="A35" i="21"/>
  <c r="E34" i="21"/>
  <c r="D34" i="21"/>
  <c r="C34" i="21"/>
  <c r="B34" i="21"/>
  <c r="A34" i="21"/>
  <c r="E33" i="21"/>
  <c r="D33" i="21"/>
  <c r="C33" i="21"/>
  <c r="B33" i="21"/>
  <c r="A33" i="21"/>
  <c r="E32" i="21"/>
  <c r="D32" i="21"/>
  <c r="C32" i="21"/>
  <c r="B32" i="21"/>
  <c r="A32" i="21"/>
  <c r="E31" i="21"/>
  <c r="D31" i="21"/>
  <c r="C31" i="21"/>
  <c r="B31" i="21"/>
  <c r="A31" i="21"/>
  <c r="E30" i="21"/>
  <c r="D30" i="21"/>
  <c r="C30" i="21"/>
  <c r="B30" i="21"/>
  <c r="A30" i="21"/>
  <c r="E29" i="21"/>
  <c r="D29" i="21"/>
  <c r="C29" i="21"/>
  <c r="B29" i="21"/>
  <c r="A29" i="21"/>
  <c r="E28" i="21"/>
  <c r="D28" i="21"/>
  <c r="C28" i="21"/>
  <c r="B28" i="21"/>
  <c r="A28" i="21"/>
  <c r="E27" i="21"/>
  <c r="D27" i="21"/>
  <c r="C27" i="21"/>
  <c r="B27" i="21"/>
  <c r="A27" i="21"/>
  <c r="E26" i="21"/>
  <c r="D26" i="21"/>
  <c r="C26" i="21"/>
  <c r="B26" i="21"/>
  <c r="A26" i="21"/>
  <c r="E25" i="21"/>
  <c r="D25" i="21"/>
  <c r="C25" i="21"/>
  <c r="B25" i="21"/>
  <c r="A25" i="21"/>
  <c r="E24" i="21"/>
  <c r="D24" i="21"/>
  <c r="C24" i="21"/>
  <c r="B24" i="21"/>
  <c r="A24" i="21"/>
  <c r="E23" i="21"/>
  <c r="D23" i="21"/>
  <c r="C23" i="21"/>
  <c r="B23" i="21"/>
  <c r="A23" i="21"/>
  <c r="E22" i="21"/>
  <c r="D22" i="21"/>
  <c r="C22" i="21"/>
  <c r="B22" i="21"/>
  <c r="A22" i="21"/>
  <c r="E21" i="21"/>
  <c r="D21" i="21"/>
  <c r="C21" i="21"/>
  <c r="B21" i="21"/>
  <c r="A21" i="21"/>
  <c r="E20" i="21"/>
  <c r="D20" i="21"/>
  <c r="C20" i="21"/>
  <c r="B20" i="21"/>
  <c r="A20" i="21"/>
  <c r="E19" i="21"/>
  <c r="D19" i="21"/>
  <c r="C19" i="21"/>
  <c r="B19" i="21"/>
  <c r="A19" i="21"/>
  <c r="AH44" i="21" l="1"/>
  <c r="AI44" i="21" s="1"/>
  <c r="AH46" i="21"/>
  <c r="AI46" i="21" s="1"/>
  <c r="AH29" i="21"/>
  <c r="AI29" i="21" s="1"/>
  <c r="AH28" i="21"/>
  <c r="AI28" i="21" s="1"/>
  <c r="AH50" i="21"/>
  <c r="AI50" i="21" s="1"/>
  <c r="AH69" i="21"/>
  <c r="AI69" i="21" s="1"/>
  <c r="AH67" i="21"/>
  <c r="AI67" i="21" s="1"/>
  <c r="AH52" i="21"/>
  <c r="AI52" i="21" s="1"/>
  <c r="AH60" i="21"/>
  <c r="AI60" i="21" s="1"/>
  <c r="AH38" i="21"/>
  <c r="AI38" i="21" s="1"/>
  <c r="AH21" i="21"/>
  <c r="AI21" i="21" s="1"/>
  <c r="AH56" i="21"/>
  <c r="AI56" i="21" s="1"/>
  <c r="AH51" i="21"/>
  <c r="AI51" i="21" s="1"/>
  <c r="AH33" i="21"/>
  <c r="AI33" i="21" s="1"/>
  <c r="AH22" i="21"/>
  <c r="AI22" i="21" s="1"/>
  <c r="AH53" i="21"/>
  <c r="AI53" i="21" s="1"/>
  <c r="AH35" i="21"/>
  <c r="AI35" i="21" s="1"/>
  <c r="AH58" i="21"/>
  <c r="AI58" i="21" s="1"/>
  <c r="AH72" i="21"/>
  <c r="AI72" i="21" s="1"/>
  <c r="AH25" i="21"/>
  <c r="AI25" i="21" s="1"/>
  <c r="AH61" i="21"/>
  <c r="AI61" i="21" s="1"/>
  <c r="AH27" i="21"/>
  <c r="AI27" i="21" s="1"/>
  <c r="AE19" i="22"/>
  <c r="AF19" i="22" s="1"/>
  <c r="V49" i="22"/>
  <c r="W49" i="22" s="1"/>
  <c r="V39" i="22"/>
  <c r="W39" i="22" s="1"/>
  <c r="V29" i="22"/>
  <c r="W29" i="22" s="1"/>
  <c r="X29" i="22" s="1"/>
  <c r="V37" i="22"/>
  <c r="W37" i="22" s="1"/>
  <c r="X37" i="22" s="1"/>
  <c r="M56" i="22"/>
  <c r="N56" i="22" s="1"/>
  <c r="M50" i="22"/>
  <c r="N50" i="22" s="1"/>
  <c r="M48" i="22"/>
  <c r="N48" i="22" s="1"/>
  <c r="M26" i="22"/>
  <c r="N26" i="22" s="1"/>
  <c r="O26" i="22" s="1"/>
  <c r="X49" i="22"/>
  <c r="V19" i="22"/>
  <c r="W19" i="22" s="1"/>
  <c r="X19" i="22" s="1"/>
  <c r="V30" i="22"/>
  <c r="W30" i="22" s="1"/>
  <c r="V43" i="22"/>
  <c r="W43" i="22" s="1"/>
  <c r="V53" i="22"/>
  <c r="W53" i="22" s="1"/>
  <c r="X22" i="22"/>
  <c r="V26" i="22"/>
  <c r="W26" i="22" s="1"/>
  <c r="V38" i="22"/>
  <c r="W38" i="22" s="1"/>
  <c r="V50" i="22"/>
  <c r="W50" i="22" s="1"/>
  <c r="X42" i="22"/>
  <c r="V45" i="22"/>
  <c r="W45" i="22" s="1"/>
  <c r="V23" i="22"/>
  <c r="W23" i="22" s="1"/>
  <c r="V46" i="22"/>
  <c r="W46" i="22" s="1"/>
  <c r="X39" i="22"/>
  <c r="V20" i="22"/>
  <c r="W20" i="22" s="1"/>
  <c r="V28" i="22"/>
  <c r="W28" i="22" s="1"/>
  <c r="V25" i="22"/>
  <c r="W25" i="22" s="1"/>
  <c r="V31" i="22"/>
  <c r="W31" i="22" s="1"/>
  <c r="V55" i="22"/>
  <c r="W55" i="22" s="1"/>
  <c r="O66" i="22"/>
  <c r="M24" i="22"/>
  <c r="N24" i="22" s="1"/>
  <c r="M33" i="22"/>
  <c r="N33" i="22" s="1"/>
  <c r="M35" i="22"/>
  <c r="N35" i="22" s="1"/>
  <c r="M64" i="22"/>
  <c r="N64" i="22" s="1"/>
  <c r="M47" i="22"/>
  <c r="N47" i="22" s="1"/>
  <c r="M49" i="22"/>
  <c r="N49" i="22" s="1"/>
  <c r="M68" i="22"/>
  <c r="N68" i="22" s="1"/>
  <c r="O48" i="22"/>
  <c r="M17" i="22"/>
  <c r="N17" i="22" s="1"/>
  <c r="M78" i="22"/>
  <c r="N78" i="22" s="1"/>
  <c r="M19" i="22"/>
  <c r="N19" i="22" s="1"/>
  <c r="O19" i="22" s="1"/>
  <c r="O56" i="22"/>
  <c r="M21" i="22"/>
  <c r="N21" i="22" s="1"/>
  <c r="M57" i="22"/>
  <c r="N57" i="22" s="1"/>
  <c r="M43" i="22"/>
  <c r="N43" i="22" s="1"/>
  <c r="O50" i="22"/>
  <c r="M29" i="22"/>
  <c r="N29" i="22" s="1"/>
  <c r="M70" i="22"/>
  <c r="N70" i="22" s="1"/>
  <c r="M31" i="22"/>
  <c r="N31" i="22" s="1"/>
  <c r="M37" i="22"/>
  <c r="N37" i="22" s="1"/>
  <c r="M58" i="22"/>
  <c r="M61" i="22"/>
  <c r="N61" i="22" s="1"/>
  <c r="M74" i="22"/>
  <c r="N74" i="22" s="1"/>
  <c r="M27" i="22"/>
  <c r="N27" i="22" s="1"/>
  <c r="M39" i="22"/>
  <c r="N39" i="22" s="1"/>
  <c r="M41" i="22"/>
  <c r="N41" i="22" s="1"/>
  <c r="M45" i="22"/>
  <c r="N45" i="22" s="1"/>
  <c r="M22" i="22"/>
  <c r="N22" i="22" s="1"/>
  <c r="M25" i="22"/>
  <c r="N25" i="22" s="1"/>
  <c r="M30" i="22"/>
  <c r="N30" i="22" s="1"/>
  <c r="M55" i="22"/>
  <c r="N55" i="22" s="1"/>
  <c r="M59" i="22"/>
  <c r="N59" i="22" s="1"/>
  <c r="M62" i="22"/>
  <c r="N62" i="22" s="1"/>
  <c r="M72" i="22"/>
  <c r="N72" i="22" s="1"/>
  <c r="M20" i="22"/>
  <c r="N20" i="22" s="1"/>
  <c r="M28" i="22"/>
  <c r="N28" i="22" s="1"/>
  <c r="M32" i="22"/>
  <c r="N32" i="22" s="1"/>
  <c r="M34" i="22"/>
  <c r="N34" i="22" s="1"/>
  <c r="M36" i="22"/>
  <c r="N36" i="22" s="1"/>
  <c r="M38" i="22"/>
  <c r="N38" i="22" s="1"/>
  <c r="M76" i="22"/>
  <c r="N76" i="22" s="1"/>
  <c r="M23" i="22"/>
  <c r="N23" i="22" s="1"/>
  <c r="M40" i="22"/>
  <c r="N40" i="22" s="1"/>
  <c r="M42" i="22"/>
  <c r="N42" i="22" s="1"/>
  <c r="M44" i="22"/>
  <c r="N44" i="22" s="1"/>
  <c r="M46" i="22"/>
  <c r="N46" i="22" s="1"/>
  <c r="M52" i="22"/>
  <c r="N52" i="22" s="1"/>
  <c r="M60" i="22"/>
  <c r="N60" i="22" s="1"/>
  <c r="AB19" i="22"/>
  <c r="V41" i="22"/>
  <c r="W41" i="22" s="1"/>
  <c r="V54" i="22"/>
  <c r="W54" i="22" s="1"/>
  <c r="V21" i="22"/>
  <c r="W21" i="22" s="1"/>
  <c r="V57" i="22"/>
  <c r="W57" i="22" s="1"/>
  <c r="V56" i="22"/>
  <c r="W56" i="22" s="1"/>
  <c r="V58" i="22"/>
  <c r="W58" i="22" s="1"/>
  <c r="V44" i="22"/>
  <c r="W44" i="22" s="1"/>
  <c r="V40" i="22"/>
  <c r="W40" i="22" s="1"/>
  <c r="V36" i="22"/>
  <c r="W36" i="22" s="1"/>
  <c r="V17" i="22"/>
  <c r="W17" i="22" s="1"/>
  <c r="V48" i="22"/>
  <c r="W48" i="22" s="1"/>
  <c r="V32" i="22"/>
  <c r="W32" i="22" s="1"/>
  <c r="V35" i="22"/>
  <c r="W35" i="22" s="1"/>
  <c r="V24" i="22"/>
  <c r="W24" i="22" s="1"/>
  <c r="V27" i="22"/>
  <c r="W27" i="22" s="1"/>
  <c r="V47" i="22"/>
  <c r="W47" i="22" s="1"/>
  <c r="V33" i="22"/>
  <c r="W33" i="22" s="1"/>
  <c r="V34" i="22"/>
  <c r="W34" i="22" s="1"/>
  <c r="V61" i="22"/>
  <c r="W61" i="22" s="1"/>
  <c r="V66" i="22"/>
  <c r="W66" i="22" s="1"/>
  <c r="V74" i="22"/>
  <c r="W74" i="22" s="1"/>
  <c r="V59" i="22"/>
  <c r="W59" i="22" s="1"/>
  <c r="V60" i="22"/>
  <c r="W60" i="22" s="1"/>
  <c r="V65" i="22"/>
  <c r="W65" i="22" s="1"/>
  <c r="V78" i="22"/>
  <c r="W78" i="22" s="1"/>
  <c r="V63" i="22"/>
  <c r="W63" i="22" s="1"/>
  <c r="V64" i="22"/>
  <c r="W64" i="22" s="1"/>
  <c r="V67" i="22"/>
  <c r="W67" i="22" s="1"/>
  <c r="V68" i="22"/>
  <c r="W68" i="22" s="1"/>
  <c r="V71" i="22"/>
  <c r="W71" i="22" s="1"/>
  <c r="V72" i="22"/>
  <c r="W72" i="22" s="1"/>
  <c r="V75" i="22"/>
  <c r="W75" i="22" s="1"/>
  <c r="V76" i="22"/>
  <c r="W76" i="22" s="1"/>
  <c r="V69" i="22"/>
  <c r="W69" i="22" s="1"/>
  <c r="V77" i="22"/>
  <c r="W77" i="22" s="1"/>
  <c r="V52" i="22"/>
  <c r="W52" i="22" s="1"/>
  <c r="V51" i="22"/>
  <c r="W51" i="22" s="1"/>
  <c r="V62" i="22"/>
  <c r="W62" i="22" s="1"/>
  <c r="V70" i="22"/>
  <c r="W70" i="22" s="1"/>
  <c r="V73" i="22"/>
  <c r="W73" i="22" s="1"/>
  <c r="M63" i="22"/>
  <c r="N63" i="22" s="1"/>
  <c r="M77" i="22"/>
  <c r="N77" i="22" s="1"/>
  <c r="M75" i="22"/>
  <c r="N75" i="22" s="1"/>
  <c r="M73" i="22"/>
  <c r="N73" i="22" s="1"/>
  <c r="M71" i="22"/>
  <c r="N71" i="22" s="1"/>
  <c r="M69" i="22"/>
  <c r="N69" i="22" s="1"/>
  <c r="M67" i="22"/>
  <c r="N67" i="22" s="1"/>
  <c r="M65" i="22"/>
  <c r="N65" i="22" s="1"/>
  <c r="M51" i="22"/>
  <c r="N51" i="22" s="1"/>
  <c r="M53" i="22"/>
  <c r="N53" i="22" s="1"/>
  <c r="M54" i="22"/>
  <c r="N54" i="22" s="1"/>
  <c r="N58" i="22" l="1"/>
  <c r="O58" i="22" s="1"/>
  <c r="X70" i="22"/>
  <c r="X71" i="22"/>
  <c r="X73" i="22"/>
  <c r="X75" i="22"/>
  <c r="X65" i="22"/>
  <c r="X47" i="22"/>
  <c r="X40" i="22"/>
  <c r="X28" i="22"/>
  <c r="X53" i="22"/>
  <c r="X72" i="22"/>
  <c r="X60" i="22"/>
  <c r="X27" i="22"/>
  <c r="X44" i="22"/>
  <c r="X20" i="22"/>
  <c r="X43" i="22"/>
  <c r="X62" i="22"/>
  <c r="X59" i="22"/>
  <c r="X24" i="22"/>
  <c r="X58" i="22"/>
  <c r="X30" i="22"/>
  <c r="X51" i="22"/>
  <c r="X68" i="22"/>
  <c r="X74" i="22"/>
  <c r="X35" i="22"/>
  <c r="X56" i="22"/>
  <c r="AG56" i="22" s="1"/>
  <c r="X50" i="22"/>
  <c r="AG50" i="22" s="1"/>
  <c r="X52" i="22"/>
  <c r="X67" i="22"/>
  <c r="X66" i="22"/>
  <c r="AG66" i="22" s="1"/>
  <c r="X32" i="22"/>
  <c r="X57" i="22"/>
  <c r="X46" i="22"/>
  <c r="X38" i="22"/>
  <c r="X77" i="22"/>
  <c r="X64" i="22"/>
  <c r="X61" i="22"/>
  <c r="X48" i="22"/>
  <c r="AG48" i="22" s="1"/>
  <c r="X21" i="22"/>
  <c r="X55" i="22"/>
  <c r="X23" i="22"/>
  <c r="X26" i="22"/>
  <c r="AG26" i="22" s="1"/>
  <c r="X69" i="22"/>
  <c r="X63" i="22"/>
  <c r="X34" i="22"/>
  <c r="X17" i="22"/>
  <c r="X54" i="22"/>
  <c r="X31" i="22"/>
  <c r="X45" i="22"/>
  <c r="X76" i="22"/>
  <c r="X78" i="22"/>
  <c r="X33" i="22"/>
  <c r="X36" i="22"/>
  <c r="X41" i="22"/>
  <c r="X25" i="22"/>
  <c r="O27" i="22"/>
  <c r="AG27" i="22" s="1"/>
  <c r="O51" i="22"/>
  <c r="O74" i="22"/>
  <c r="O46" i="22"/>
  <c r="O57" i="22"/>
  <c r="O53" i="22"/>
  <c r="O59" i="22"/>
  <c r="O63" i="22"/>
  <c r="O61" i="22"/>
  <c r="O52" i="22"/>
  <c r="O65" i="22"/>
  <c r="O49" i="22"/>
  <c r="AG49" i="22" s="1"/>
  <c r="O38" i="22"/>
  <c r="O78" i="22"/>
  <c r="O36" i="22"/>
  <c r="O55" i="22"/>
  <c r="O33" i="22"/>
  <c r="O30" i="22"/>
  <c r="O24" i="22"/>
  <c r="O67" i="22"/>
  <c r="O32" i="22"/>
  <c r="O69" i="22"/>
  <c r="O28" i="22"/>
  <c r="O21" i="22"/>
  <c r="O45" i="22"/>
  <c r="O77" i="22"/>
  <c r="O60" i="22"/>
  <c r="O35" i="22"/>
  <c r="O17" i="22"/>
  <c r="O34" i="22"/>
  <c r="O43" i="22"/>
  <c r="O44" i="22"/>
  <c r="O25" i="22"/>
  <c r="O42" i="22"/>
  <c r="AG42" i="22" s="1"/>
  <c r="O22" i="22"/>
  <c r="AG22" i="22" s="1"/>
  <c r="O37" i="22"/>
  <c r="AG37" i="22" s="1"/>
  <c r="O68" i="22"/>
  <c r="O71" i="22"/>
  <c r="O40" i="22"/>
  <c r="O20" i="22"/>
  <c r="O31" i="22"/>
  <c r="O73" i="22"/>
  <c r="O23" i="22"/>
  <c r="O72" i="22"/>
  <c r="O41" i="22"/>
  <c r="O70" i="22"/>
  <c r="O47" i="22"/>
  <c r="O54" i="22"/>
  <c r="O75" i="22"/>
  <c r="O76" i="22"/>
  <c r="O62" i="22"/>
  <c r="O39" i="22"/>
  <c r="AG39" i="22" s="1"/>
  <c r="O29" i="22"/>
  <c r="AG29" i="22" s="1"/>
  <c r="O64" i="22"/>
  <c r="AG19" i="22"/>
  <c r="AH19" i="22" s="1"/>
  <c r="AG58" i="22" l="1"/>
  <c r="AG41" i="22"/>
  <c r="AG63" i="22"/>
  <c r="AG62" i="22"/>
  <c r="AG72" i="22"/>
  <c r="AG67" i="22"/>
  <c r="AG59" i="22"/>
  <c r="AG71" i="22"/>
  <c r="AG75" i="22"/>
  <c r="AG23" i="22"/>
  <c r="AG43" i="22"/>
  <c r="AG45" i="22"/>
  <c r="AG30" i="22"/>
  <c r="AG53" i="22"/>
  <c r="AG76" i="22"/>
  <c r="AG44" i="22"/>
  <c r="AG24" i="22"/>
  <c r="AG38" i="22"/>
  <c r="AG54" i="22"/>
  <c r="AG68" i="22"/>
  <c r="AG33" i="22"/>
  <c r="AG40" i="22"/>
  <c r="AG77" i="22"/>
  <c r="AG78" i="22"/>
  <c r="AG51" i="22"/>
  <c r="AG73" i="22"/>
  <c r="AG34" i="22"/>
  <c r="AG21" i="22"/>
  <c r="AG65" i="22"/>
  <c r="AG57" i="22"/>
  <c r="AG31" i="22"/>
  <c r="AG17" i="22"/>
  <c r="AG28" i="22"/>
  <c r="AG25" i="22"/>
  <c r="AG52" i="22"/>
  <c r="AG64" i="22"/>
  <c r="AG47" i="22"/>
  <c r="AG35" i="22"/>
  <c r="AG69" i="22"/>
  <c r="AG55" i="22"/>
  <c r="AG46" i="22"/>
  <c r="AG70" i="22"/>
  <c r="AG20" i="22"/>
  <c r="AG60" i="22"/>
  <c r="AG32" i="22"/>
  <c r="AG36" i="22"/>
  <c r="AG61" i="22"/>
  <c r="AG74" i="22"/>
  <c r="L17" i="15"/>
  <c r="M22" i="15" l="1"/>
  <c r="M26" i="15"/>
  <c r="M30" i="15"/>
  <c r="M38" i="15"/>
  <c r="M42" i="15"/>
  <c r="M46" i="15"/>
  <c r="M50" i="15"/>
  <c r="M54" i="15"/>
  <c r="M58" i="15"/>
  <c r="M66" i="15"/>
  <c r="M70" i="15"/>
  <c r="M74" i="15"/>
  <c r="M24" i="15"/>
  <c r="M48" i="15"/>
  <c r="M64" i="15"/>
  <c r="M76" i="15"/>
  <c r="M34" i="15"/>
  <c r="M62" i="15"/>
  <c r="M78" i="15"/>
  <c r="M28" i="15"/>
  <c r="M44" i="15"/>
  <c r="M52" i="15"/>
  <c r="M72" i="15"/>
  <c r="M17" i="15"/>
  <c r="M32" i="15"/>
  <c r="M56" i="15"/>
  <c r="M19" i="15"/>
  <c r="M40" i="15"/>
  <c r="M60" i="15"/>
  <c r="M36" i="15"/>
  <c r="M68" i="15"/>
  <c r="M20" i="15"/>
  <c r="M45" i="15"/>
  <c r="M77" i="15"/>
  <c r="M51" i="15"/>
  <c r="M71" i="15"/>
  <c r="M73" i="15"/>
  <c r="M69" i="15"/>
  <c r="M23" i="15"/>
  <c r="M59" i="15"/>
  <c r="M61" i="15"/>
  <c r="M67" i="15"/>
  <c r="M47" i="15"/>
  <c r="M41" i="15"/>
  <c r="M43" i="15"/>
  <c r="M31" i="15"/>
  <c r="M21" i="15"/>
  <c r="M35" i="15"/>
  <c r="M65" i="15"/>
  <c r="M25" i="15"/>
  <c r="M53" i="15"/>
  <c r="M49" i="15"/>
  <c r="M55" i="15"/>
  <c r="M39" i="15"/>
  <c r="M27" i="15"/>
  <c r="M37" i="15"/>
  <c r="M33" i="15"/>
  <c r="M29" i="15"/>
  <c r="M57" i="15"/>
  <c r="M63" i="15"/>
  <c r="M75" i="15"/>
  <c r="D20" i="15"/>
  <c r="B23" i="15"/>
  <c r="A20" i="15"/>
  <c r="B20" i="15"/>
  <c r="C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27" i="15"/>
  <c r="B27" i="15"/>
  <c r="C27" i="15"/>
  <c r="D27" i="15"/>
  <c r="E27" i="15"/>
  <c r="A28" i="15"/>
  <c r="B28" i="15"/>
  <c r="C28" i="15"/>
  <c r="D28" i="15"/>
  <c r="E28" i="15"/>
  <c r="A29" i="15"/>
  <c r="B29" i="15"/>
  <c r="C29" i="15"/>
  <c r="D29" i="15"/>
  <c r="E29" i="15"/>
  <c r="A30" i="15"/>
  <c r="B30" i="15"/>
  <c r="C30" i="15"/>
  <c r="D30" i="15"/>
  <c r="E30" i="15"/>
  <c r="A31" i="15"/>
  <c r="B31" i="15"/>
  <c r="C31" i="15"/>
  <c r="D31" i="15"/>
  <c r="E31" i="15"/>
  <c r="A32" i="15"/>
  <c r="B32" i="15"/>
  <c r="C32" i="15"/>
  <c r="D32" i="15"/>
  <c r="E32" i="15"/>
  <c r="A33" i="15"/>
  <c r="B33" i="15"/>
  <c r="C33" i="15"/>
  <c r="D33" i="15"/>
  <c r="E33" i="15"/>
  <c r="A34" i="15"/>
  <c r="B34" i="15"/>
  <c r="C34" i="15"/>
  <c r="D34" i="15"/>
  <c r="E34" i="15"/>
  <c r="A35" i="15"/>
  <c r="B35" i="15"/>
  <c r="C35" i="15"/>
  <c r="D35" i="15"/>
  <c r="E35" i="15"/>
  <c r="A36" i="15"/>
  <c r="B36" i="15"/>
  <c r="C36" i="15"/>
  <c r="D36" i="15"/>
  <c r="E36" i="15"/>
  <c r="A37" i="15"/>
  <c r="B37" i="15"/>
  <c r="C37" i="15"/>
  <c r="D37" i="15"/>
  <c r="E37" i="15"/>
  <c r="A38" i="15"/>
  <c r="B38" i="15"/>
  <c r="C38" i="15"/>
  <c r="D38" i="15"/>
  <c r="E38" i="15"/>
  <c r="A39" i="15"/>
  <c r="B39" i="15"/>
  <c r="C39" i="15"/>
  <c r="D39" i="15"/>
  <c r="E39" i="15"/>
  <c r="A40" i="15"/>
  <c r="B40" i="15"/>
  <c r="C40" i="15"/>
  <c r="D40" i="15"/>
  <c r="E40" i="15"/>
  <c r="A41" i="15"/>
  <c r="B41" i="15"/>
  <c r="C41" i="15"/>
  <c r="D41" i="15"/>
  <c r="E41" i="15"/>
  <c r="A42" i="15"/>
  <c r="B42" i="15"/>
  <c r="C42" i="15"/>
  <c r="D42" i="15"/>
  <c r="E42" i="15"/>
  <c r="A43" i="15"/>
  <c r="B43" i="15"/>
  <c r="C43" i="15"/>
  <c r="D43" i="15"/>
  <c r="E43" i="15"/>
  <c r="A44" i="15"/>
  <c r="B44" i="15"/>
  <c r="C44" i="15"/>
  <c r="D44" i="15"/>
  <c r="E44" i="15"/>
  <c r="A45" i="15"/>
  <c r="B45" i="15"/>
  <c r="C45" i="15"/>
  <c r="D45" i="15"/>
  <c r="E45" i="15"/>
  <c r="A46" i="15"/>
  <c r="B46" i="15"/>
  <c r="C46" i="15"/>
  <c r="D46" i="15"/>
  <c r="E46" i="15"/>
  <c r="A47" i="15"/>
  <c r="B47" i="15"/>
  <c r="C47" i="15"/>
  <c r="D47" i="15"/>
  <c r="E47" i="15"/>
  <c r="A48" i="15"/>
  <c r="B48" i="15"/>
  <c r="C48" i="15"/>
  <c r="D48" i="15"/>
  <c r="E48" i="15"/>
  <c r="A49" i="15"/>
  <c r="B49" i="15"/>
  <c r="C49" i="15"/>
  <c r="D49" i="15"/>
  <c r="E49" i="15"/>
  <c r="A50" i="15"/>
  <c r="B50" i="15"/>
  <c r="C50" i="15"/>
  <c r="D50" i="15"/>
  <c r="E50" i="15"/>
  <c r="A51" i="15"/>
  <c r="B51" i="15"/>
  <c r="C51" i="15"/>
  <c r="D51" i="15"/>
  <c r="E51" i="15"/>
  <c r="A52" i="15"/>
  <c r="B52" i="15"/>
  <c r="C52" i="15"/>
  <c r="D52" i="15"/>
  <c r="E52" i="15"/>
  <c r="A53" i="15"/>
  <c r="B53" i="15"/>
  <c r="C53" i="15"/>
  <c r="D53" i="15"/>
  <c r="E53" i="15"/>
  <c r="A54" i="15"/>
  <c r="B54" i="15"/>
  <c r="C54" i="15"/>
  <c r="D54" i="15"/>
  <c r="E54" i="15"/>
  <c r="A55" i="15"/>
  <c r="B55" i="15"/>
  <c r="C55" i="15"/>
  <c r="D55" i="15"/>
  <c r="E55" i="15"/>
  <c r="A56" i="15"/>
  <c r="B56" i="15"/>
  <c r="C56" i="15"/>
  <c r="D56" i="15"/>
  <c r="E56" i="15"/>
  <c r="A57" i="15"/>
  <c r="B57" i="15"/>
  <c r="C57" i="15"/>
  <c r="D57" i="15"/>
  <c r="E57" i="15"/>
  <c r="A58" i="15"/>
  <c r="B58" i="15"/>
  <c r="C58" i="15"/>
  <c r="D58" i="15"/>
  <c r="E58" i="15"/>
  <c r="A59" i="15"/>
  <c r="B59" i="15"/>
  <c r="C59" i="15"/>
  <c r="D59" i="15"/>
  <c r="E59" i="15"/>
  <c r="A60" i="15"/>
  <c r="B60" i="15"/>
  <c r="C60" i="15"/>
  <c r="D60" i="15"/>
  <c r="E60" i="15"/>
  <c r="A61" i="15"/>
  <c r="B61" i="15"/>
  <c r="C61" i="15"/>
  <c r="D61" i="15"/>
  <c r="E61" i="15"/>
  <c r="A62" i="15"/>
  <c r="B62" i="15"/>
  <c r="C62" i="15"/>
  <c r="D62" i="15"/>
  <c r="E62" i="15"/>
  <c r="A63" i="15"/>
  <c r="B63" i="15"/>
  <c r="C63" i="15"/>
  <c r="D63" i="15"/>
  <c r="E63" i="15"/>
  <c r="A64" i="15"/>
  <c r="B64" i="15"/>
  <c r="C64" i="15"/>
  <c r="D64" i="15"/>
  <c r="E64" i="15"/>
  <c r="A65" i="15"/>
  <c r="B65" i="15"/>
  <c r="C65" i="15"/>
  <c r="D65" i="15"/>
  <c r="E65" i="15"/>
  <c r="A66" i="15"/>
  <c r="B66" i="15"/>
  <c r="C66" i="15"/>
  <c r="D66" i="15"/>
  <c r="E66" i="15"/>
  <c r="A67" i="15"/>
  <c r="B67" i="15"/>
  <c r="C67" i="15"/>
  <c r="D67" i="15"/>
  <c r="E67" i="15"/>
  <c r="A68" i="15"/>
  <c r="B68" i="15"/>
  <c r="C68" i="15"/>
  <c r="D68" i="15"/>
  <c r="E68" i="15"/>
  <c r="A69" i="15"/>
  <c r="B69" i="15"/>
  <c r="C69" i="15"/>
  <c r="D69" i="15"/>
  <c r="E69" i="15"/>
  <c r="A70" i="15"/>
  <c r="B70" i="15"/>
  <c r="C70" i="15"/>
  <c r="D70" i="15"/>
  <c r="E70" i="15"/>
  <c r="A71" i="15"/>
  <c r="B71" i="15"/>
  <c r="C71" i="15"/>
  <c r="D71" i="15"/>
  <c r="E71" i="15"/>
  <c r="A72" i="15"/>
  <c r="B72" i="15"/>
  <c r="C72" i="15"/>
  <c r="D72" i="15"/>
  <c r="E72" i="15"/>
  <c r="A73" i="15"/>
  <c r="B73" i="15"/>
  <c r="C73" i="15"/>
  <c r="D73" i="15"/>
  <c r="E73" i="15"/>
  <c r="A74" i="15"/>
  <c r="B74" i="15"/>
  <c r="C74" i="15"/>
  <c r="D74" i="15"/>
  <c r="E74" i="15"/>
  <c r="A75" i="15"/>
  <c r="B75" i="15"/>
  <c r="C75" i="15"/>
  <c r="D75" i="15"/>
  <c r="E75" i="15"/>
  <c r="A76" i="15"/>
  <c r="B76" i="15"/>
  <c r="C76" i="15"/>
  <c r="D76" i="15"/>
  <c r="E76" i="15"/>
  <c r="A77" i="15"/>
  <c r="B77" i="15"/>
  <c r="C77" i="15"/>
  <c r="D77" i="15"/>
  <c r="E77" i="15"/>
  <c r="A78" i="15"/>
  <c r="B78" i="15"/>
  <c r="C78" i="15"/>
  <c r="D78" i="15"/>
  <c r="E78" i="15"/>
  <c r="B19" i="15"/>
  <c r="C19" i="15"/>
  <c r="D19" i="15"/>
  <c r="E19" i="15"/>
  <c r="A19" i="15"/>
  <c r="N37" i="15" l="1"/>
  <c r="O37" i="15" s="1"/>
  <c r="AH37" i="15" s="1"/>
  <c r="N35" i="15"/>
  <c r="O35" i="15" s="1"/>
  <c r="AH35" i="15" s="1"/>
  <c r="N20" i="15"/>
  <c r="O20" i="15" s="1"/>
  <c r="AH20" i="15" s="1"/>
  <c r="N27" i="15"/>
  <c r="O27" i="15" s="1"/>
  <c r="AH27" i="15" s="1"/>
  <c r="N72" i="15"/>
  <c r="O72" i="15" s="1"/>
  <c r="AH72" i="15" s="1"/>
  <c r="N69" i="15"/>
  <c r="O69" i="15" s="1"/>
  <c r="AH69" i="15" s="1"/>
  <c r="N52" i="15"/>
  <c r="O52" i="15" s="1"/>
  <c r="AH52" i="15" s="1"/>
  <c r="N76" i="15"/>
  <c r="O76" i="15" s="1"/>
  <c r="AH76" i="15" s="1"/>
  <c r="N64" i="15"/>
  <c r="O64" i="15" s="1"/>
  <c r="AH64" i="15" s="1"/>
  <c r="N39" i="15"/>
  <c r="O39" i="15" s="1"/>
  <c r="AH39" i="15" s="1"/>
  <c r="N46" i="15"/>
  <c r="O46" i="15" s="1"/>
  <c r="AH46" i="15" s="1"/>
  <c r="N59" i="15"/>
  <c r="O59" i="15" s="1"/>
  <c r="AH59" i="15" s="1"/>
  <c r="N50" i="15"/>
  <c r="O50" i="15" s="1"/>
  <c r="AH50" i="15" s="1"/>
  <c r="N31" i="15"/>
  <c r="O31" i="15" s="1"/>
  <c r="AH31" i="15" s="1"/>
  <c r="N48" i="15"/>
  <c r="O48" i="15" s="1"/>
  <c r="AH48" i="15" s="1"/>
  <c r="N75" i="15"/>
  <c r="O75" i="15" s="1"/>
  <c r="AH75" i="15" s="1"/>
  <c r="N60" i="15"/>
  <c r="O60" i="15" s="1"/>
  <c r="AH60" i="15" s="1"/>
  <c r="N44" i="15"/>
  <c r="O44" i="15" s="1"/>
  <c r="AH44" i="15" s="1"/>
  <c r="N63" i="15"/>
  <c r="O63" i="15" s="1"/>
  <c r="AH63" i="15" s="1"/>
  <c r="N40" i="15"/>
  <c r="O40" i="15" s="1"/>
  <c r="AH40" i="15" s="1"/>
  <c r="N28" i="15"/>
  <c r="O28" i="15" s="1"/>
  <c r="AH28" i="15" s="1"/>
  <c r="N51" i="15"/>
  <c r="O51" i="15" s="1"/>
  <c r="AH51" i="15" s="1"/>
  <c r="N30" i="15"/>
  <c r="O30" i="15" s="1"/>
  <c r="AH30" i="15" s="1"/>
  <c r="N17" i="15"/>
  <c r="O17" i="15" s="1"/>
  <c r="AH17" i="15" s="1"/>
  <c r="AJ17" i="21" s="1"/>
  <c r="AK17" i="21" s="1"/>
  <c r="N21" i="15"/>
  <c r="O21" i="15" s="1"/>
  <c r="AH21" i="15" s="1"/>
  <c r="N23" i="15"/>
  <c r="O23" i="15" s="1"/>
  <c r="AH23" i="15" s="1"/>
  <c r="N36" i="15"/>
  <c r="O36" i="15" s="1"/>
  <c r="AH36" i="15" s="1"/>
  <c r="N55" i="15"/>
  <c r="O55" i="15" s="1"/>
  <c r="AH55" i="15" s="1"/>
  <c r="N73" i="15"/>
  <c r="O73" i="15" s="1"/>
  <c r="AH73" i="15" s="1"/>
  <c r="N24" i="15"/>
  <c r="O24" i="15" s="1"/>
  <c r="AH24" i="15" s="1"/>
  <c r="N41" i="15"/>
  <c r="O41" i="15" s="1"/>
  <c r="AH41" i="15" s="1"/>
  <c r="N38" i="15"/>
  <c r="O38" i="15" s="1"/>
  <c r="AH38" i="15" s="1"/>
  <c r="N57" i="15"/>
  <c r="O57" i="15" s="1"/>
  <c r="AH57" i="15" s="1"/>
  <c r="N53" i="15"/>
  <c r="O53" i="15" s="1"/>
  <c r="AH53" i="15" s="1"/>
  <c r="N47" i="15"/>
  <c r="O47" i="15" s="1"/>
  <c r="AH47" i="15" s="1"/>
  <c r="N19" i="15"/>
  <c r="O19" i="15" s="1"/>
  <c r="AH19" i="15" s="1"/>
  <c r="N70" i="15"/>
  <c r="O70" i="15" s="1"/>
  <c r="AH70" i="15" s="1"/>
  <c r="N29" i="15"/>
  <c r="O29" i="15" s="1"/>
  <c r="AH29" i="15" s="1"/>
  <c r="N25" i="15"/>
  <c r="O25" i="15" s="1"/>
  <c r="AH25" i="15" s="1"/>
  <c r="N67" i="15"/>
  <c r="O67" i="15" s="1"/>
  <c r="AH67" i="15" s="1"/>
  <c r="N77" i="15"/>
  <c r="O77" i="15" s="1"/>
  <c r="AH77" i="15" s="1"/>
  <c r="N56" i="15"/>
  <c r="O56" i="15" s="1"/>
  <c r="AH56" i="15" s="1"/>
  <c r="N62" i="15"/>
  <c r="O62" i="15" s="1"/>
  <c r="AH62" i="15" s="1"/>
  <c r="N66" i="15"/>
  <c r="O66" i="15" s="1"/>
  <c r="AH66" i="15" s="1"/>
  <c r="N26" i="15"/>
  <c r="O26" i="15" s="1"/>
  <c r="AH26" i="15" s="1"/>
  <c r="N54" i="15"/>
  <c r="O54" i="15" s="1"/>
  <c r="AH54" i="15" s="1"/>
  <c r="N68" i="15"/>
  <c r="O68" i="15" s="1"/>
  <c r="AH68" i="15" s="1"/>
  <c r="N43" i="15"/>
  <c r="O43" i="15" s="1"/>
  <c r="AH43" i="15" s="1"/>
  <c r="N42" i="15"/>
  <c r="O42" i="15" s="1"/>
  <c r="AH42" i="15" s="1"/>
  <c r="N49" i="15"/>
  <c r="O49" i="15" s="1"/>
  <c r="AH49" i="15" s="1"/>
  <c r="N71" i="15"/>
  <c r="O71" i="15" s="1"/>
  <c r="AH71" i="15" s="1"/>
  <c r="N74" i="15"/>
  <c r="O74" i="15" s="1"/>
  <c r="AH74" i="15" s="1"/>
  <c r="N78" i="15"/>
  <c r="O78" i="15" s="1"/>
  <c r="AH78" i="15" s="1"/>
  <c r="N33" i="15"/>
  <c r="O33" i="15" s="1"/>
  <c r="AH33" i="15" s="1"/>
  <c r="N65" i="15"/>
  <c r="O65" i="15" s="1"/>
  <c r="AH65" i="15" s="1"/>
  <c r="N61" i="15"/>
  <c r="O61" i="15" s="1"/>
  <c r="AH61" i="15" s="1"/>
  <c r="N45" i="15"/>
  <c r="O45" i="15" s="1"/>
  <c r="AH45" i="15" s="1"/>
  <c r="N32" i="15"/>
  <c r="O32" i="15" s="1"/>
  <c r="AH32" i="15" s="1"/>
  <c r="N34" i="15"/>
  <c r="O34" i="15" s="1"/>
  <c r="AH34" i="15" s="1"/>
  <c r="N58" i="15"/>
  <c r="O58" i="15" s="1"/>
  <c r="AH58" i="15" s="1"/>
  <c r="N22" i="15"/>
  <c r="O22" i="15" s="1"/>
  <c r="AH22" i="15" s="1"/>
  <c r="D67" i="25" l="1"/>
  <c r="D67" i="23"/>
  <c r="D67" i="26"/>
  <c r="AJ67" i="21"/>
  <c r="D76" i="25"/>
  <c r="D76" i="23"/>
  <c r="D76" i="26"/>
  <c r="AJ76" i="21"/>
  <c r="D70" i="26"/>
  <c r="D70" i="23"/>
  <c r="D70" i="25"/>
  <c r="AJ70" i="21"/>
  <c r="D68" i="25"/>
  <c r="D68" i="23"/>
  <c r="D68" i="26"/>
  <c r="AJ68" i="21"/>
  <c r="D48" i="26"/>
  <c r="D48" i="23"/>
  <c r="D48" i="25"/>
  <c r="AJ48" i="21"/>
  <c r="D26" i="25"/>
  <c r="D26" i="26"/>
  <c r="D26" i="23"/>
  <c r="AJ26" i="21"/>
  <c r="D43" i="25"/>
  <c r="D43" i="23"/>
  <c r="D43" i="26"/>
  <c r="AJ43" i="21"/>
  <c r="D75" i="25"/>
  <c r="D75" i="26"/>
  <c r="D75" i="23"/>
  <c r="AJ75" i="21"/>
  <c r="D25" i="26"/>
  <c r="D25" i="23"/>
  <c r="D25" i="25"/>
  <c r="AJ25" i="21"/>
  <c r="D30" i="26"/>
  <c r="D30" i="23"/>
  <c r="D30" i="25"/>
  <c r="AJ30" i="21"/>
  <c r="D33" i="26"/>
  <c r="D33" i="23"/>
  <c r="D33" i="25"/>
  <c r="AJ33" i="21"/>
  <c r="D29" i="25"/>
  <c r="D29" i="26"/>
  <c r="D29" i="23"/>
  <c r="AJ29" i="21"/>
  <c r="D51" i="25"/>
  <c r="D51" i="23"/>
  <c r="D51" i="26"/>
  <c r="AJ51" i="21"/>
  <c r="D69" i="25"/>
  <c r="D69" i="26"/>
  <c r="D69" i="23"/>
  <c r="AJ69" i="21"/>
  <c r="D78" i="26"/>
  <c r="D78" i="23"/>
  <c r="D78" i="25"/>
  <c r="AJ78" i="21"/>
  <c r="D28" i="25"/>
  <c r="D28" i="23"/>
  <c r="D28" i="26"/>
  <c r="AJ28" i="21"/>
  <c r="D72" i="26"/>
  <c r="D72" i="23"/>
  <c r="D72" i="25"/>
  <c r="AJ72" i="21"/>
  <c r="D74" i="25"/>
  <c r="D74" i="26"/>
  <c r="D74" i="23"/>
  <c r="AJ74" i="21"/>
  <c r="D66" i="25"/>
  <c r="D66" i="23"/>
  <c r="D66" i="26"/>
  <c r="AJ66" i="21"/>
  <c r="D40" i="26"/>
  <c r="D40" i="23"/>
  <c r="D40" i="25"/>
  <c r="AJ40" i="21"/>
  <c r="D27" i="25"/>
  <c r="D27" i="26"/>
  <c r="D27" i="23"/>
  <c r="AJ27" i="21"/>
  <c r="D71" i="26"/>
  <c r="D71" i="23"/>
  <c r="D71" i="25"/>
  <c r="AJ71" i="21"/>
  <c r="D47" i="23"/>
  <c r="D47" i="26"/>
  <c r="D47" i="25"/>
  <c r="AJ47" i="21"/>
  <c r="D63" i="26"/>
  <c r="D63" i="23"/>
  <c r="D63" i="25"/>
  <c r="AJ63" i="21"/>
  <c r="D20" i="25"/>
  <c r="D20" i="26"/>
  <c r="D20" i="23"/>
  <c r="AJ20" i="21"/>
  <c r="D32" i="26"/>
  <c r="D32" i="23"/>
  <c r="D32" i="25"/>
  <c r="AJ32" i="21"/>
  <c r="D49" i="26"/>
  <c r="D49" i="23"/>
  <c r="D49" i="25"/>
  <c r="AJ49" i="21"/>
  <c r="D56" i="26"/>
  <c r="D56" i="23"/>
  <c r="D56" i="25"/>
  <c r="AJ56" i="21"/>
  <c r="D53" i="25"/>
  <c r="D53" i="26"/>
  <c r="D53" i="23"/>
  <c r="AJ53" i="21"/>
  <c r="D23" i="26"/>
  <c r="D23" i="23"/>
  <c r="D23" i="25"/>
  <c r="AJ23" i="21"/>
  <c r="D44" i="25"/>
  <c r="D44" i="23"/>
  <c r="D44" i="26"/>
  <c r="AJ44" i="21"/>
  <c r="D39" i="26"/>
  <c r="D39" i="23"/>
  <c r="D39" i="25"/>
  <c r="AJ39" i="21"/>
  <c r="D35" i="25"/>
  <c r="D35" i="26"/>
  <c r="D35" i="23"/>
  <c r="AJ35" i="21"/>
  <c r="D61" i="25"/>
  <c r="D61" i="23"/>
  <c r="D61" i="26"/>
  <c r="AJ61" i="21"/>
  <c r="D38" i="26"/>
  <c r="D38" i="23"/>
  <c r="D38" i="25"/>
  <c r="AJ38" i="21"/>
  <c r="D65" i="26"/>
  <c r="D65" i="23"/>
  <c r="D65" i="25"/>
  <c r="AJ65" i="21"/>
  <c r="D41" i="26"/>
  <c r="D41" i="23"/>
  <c r="D41" i="25"/>
  <c r="AJ41" i="21"/>
  <c r="D52" i="25"/>
  <c r="D52" i="26"/>
  <c r="D52" i="23"/>
  <c r="AJ52" i="21"/>
  <c r="D54" i="26"/>
  <c r="D54" i="23"/>
  <c r="D54" i="25"/>
  <c r="AJ54" i="21"/>
  <c r="D24" i="26"/>
  <c r="D24" i="23"/>
  <c r="D24" i="25"/>
  <c r="AJ24" i="21"/>
  <c r="D31" i="26"/>
  <c r="D31" i="23"/>
  <c r="D31" i="25"/>
  <c r="AJ31" i="21"/>
  <c r="D22" i="26"/>
  <c r="D22" i="23"/>
  <c r="D22" i="25"/>
  <c r="AJ22" i="21"/>
  <c r="D73" i="26"/>
  <c r="D73" i="23"/>
  <c r="D73" i="25"/>
  <c r="AJ73" i="21"/>
  <c r="D50" i="25"/>
  <c r="D50" i="26"/>
  <c r="D50" i="23"/>
  <c r="AJ50" i="21"/>
  <c r="D58" i="25"/>
  <c r="D58" i="26"/>
  <c r="D58" i="23"/>
  <c r="AJ58" i="21"/>
  <c r="AJ19" i="21"/>
  <c r="D19" i="26"/>
  <c r="D19" i="23"/>
  <c r="D19" i="25"/>
  <c r="D55" i="26"/>
  <c r="D55" i="23"/>
  <c r="D55" i="25"/>
  <c r="AJ55" i="21"/>
  <c r="D59" i="25"/>
  <c r="D59" i="26"/>
  <c r="D59" i="23"/>
  <c r="AJ59" i="21"/>
  <c r="D34" i="25"/>
  <c r="D34" i="26"/>
  <c r="D34" i="23"/>
  <c r="AJ34" i="21"/>
  <c r="D62" i="26"/>
  <c r="D62" i="23"/>
  <c r="D62" i="25"/>
  <c r="AJ62" i="21"/>
  <c r="D36" i="25"/>
  <c r="D36" i="26"/>
  <c r="D36" i="23"/>
  <c r="AJ36" i="21"/>
  <c r="D46" i="26"/>
  <c r="D46" i="23"/>
  <c r="D46" i="25"/>
  <c r="AJ46" i="21"/>
  <c r="D45" i="25"/>
  <c r="D45" i="23"/>
  <c r="D45" i="26"/>
  <c r="AJ45" i="21"/>
  <c r="D42" i="25"/>
  <c r="D42" i="26"/>
  <c r="D42" i="23"/>
  <c r="AJ42" i="21"/>
  <c r="D77" i="25"/>
  <c r="D77" i="23"/>
  <c r="D77" i="26"/>
  <c r="AJ77" i="21"/>
  <c r="D57" i="26"/>
  <c r="D57" i="23"/>
  <c r="D57" i="25"/>
  <c r="AJ57" i="21"/>
  <c r="D21" i="25"/>
  <c r="D21" i="23"/>
  <c r="D21" i="26"/>
  <c r="AJ21" i="21"/>
  <c r="D60" i="25"/>
  <c r="D60" i="23"/>
  <c r="D60" i="26"/>
  <c r="AJ60" i="21"/>
  <c r="D64" i="26"/>
  <c r="D64" i="23"/>
  <c r="D64" i="25"/>
  <c r="AJ64" i="21"/>
  <c r="D37" i="25"/>
  <c r="D37" i="26"/>
  <c r="D37" i="23"/>
  <c r="AJ37" i="21"/>
  <c r="AK37" i="21" l="1"/>
  <c r="AL37" i="21" s="1"/>
  <c r="AK60" i="21"/>
  <c r="AL60" i="21" s="1"/>
  <c r="AK57" i="21"/>
  <c r="AL57" i="21" s="1"/>
  <c r="AK42" i="21"/>
  <c r="AL42" i="21" s="1"/>
  <c r="AK46" i="21"/>
  <c r="AL46" i="21" s="1"/>
  <c r="AK62" i="21"/>
  <c r="AL62" i="21" s="1"/>
  <c r="AK59" i="21"/>
  <c r="AL59" i="21" s="1"/>
  <c r="AL50" i="21"/>
  <c r="AK50" i="21"/>
  <c r="AK22" i="21"/>
  <c r="AL22" i="21" s="1"/>
  <c r="AK24" i="21"/>
  <c r="AL24" i="21" s="1"/>
  <c r="AK52" i="21"/>
  <c r="AL52" i="21" s="1"/>
  <c r="AK65" i="21"/>
  <c r="AL65" i="21" s="1"/>
  <c r="AK61" i="21"/>
  <c r="AL61" i="21" s="1"/>
  <c r="AK39" i="21"/>
  <c r="AL39" i="21" s="1"/>
  <c r="AK23" i="21"/>
  <c r="AL23" i="21" s="1"/>
  <c r="AK56" i="21"/>
  <c r="AL56" i="21" s="1"/>
  <c r="AK32" i="21"/>
  <c r="AL32" i="21" s="1"/>
  <c r="AK63" i="21"/>
  <c r="AL63" i="21" s="1"/>
  <c r="AK71" i="21"/>
  <c r="AL71" i="21" s="1"/>
  <c r="AK40" i="21"/>
  <c r="AL40" i="21" s="1"/>
  <c r="AK74" i="21"/>
  <c r="AL74" i="21" s="1"/>
  <c r="AK28" i="21"/>
  <c r="AL28" i="21" s="1"/>
  <c r="AK69" i="21"/>
  <c r="AL69" i="21" s="1"/>
  <c r="AK29" i="21"/>
  <c r="AL29" i="21" s="1"/>
  <c r="AK30" i="21"/>
  <c r="AL30" i="21" s="1"/>
  <c r="AK75" i="21"/>
  <c r="AL75" i="21" s="1"/>
  <c r="AK26" i="21"/>
  <c r="AL26" i="21" s="1"/>
  <c r="AK68" i="21"/>
  <c r="AL68" i="21" s="1"/>
  <c r="AK76" i="21"/>
  <c r="AL76" i="21" s="1"/>
  <c r="AK64" i="21"/>
  <c r="AL64" i="21" s="1"/>
  <c r="AK38" i="21"/>
  <c r="AL38" i="21" s="1"/>
  <c r="AK78" i="21"/>
  <c r="AL78" i="21" s="1"/>
  <c r="AK67" i="21"/>
  <c r="AL67" i="21" s="1"/>
  <c r="AK19" i="21"/>
  <c r="AL19" i="21" s="1"/>
  <c r="AK48" i="21"/>
  <c r="AL48" i="21" s="1"/>
  <c r="AK21" i="21"/>
  <c r="AL21" i="21" s="1"/>
  <c r="AK77" i="21"/>
  <c r="AL77" i="21" s="1"/>
  <c r="AK45" i="21"/>
  <c r="AL45" i="21" s="1"/>
  <c r="AK36" i="21"/>
  <c r="AL36" i="21" s="1"/>
  <c r="AK34" i="21"/>
  <c r="AL34" i="21" s="1"/>
  <c r="AK55" i="21"/>
  <c r="AL55" i="21" s="1"/>
  <c r="AK58" i="21"/>
  <c r="AL58" i="21" s="1"/>
  <c r="AK73" i="21"/>
  <c r="AL73" i="21" s="1"/>
  <c r="AK31" i="21"/>
  <c r="AL31" i="21" s="1"/>
  <c r="AK54" i="21"/>
  <c r="AL54" i="21" s="1"/>
  <c r="AK41" i="21"/>
  <c r="AL41" i="21" s="1"/>
  <c r="AK35" i="21"/>
  <c r="AL35" i="21" s="1"/>
  <c r="AK44" i="21"/>
  <c r="AL44" i="21" s="1"/>
  <c r="AK53" i="21"/>
  <c r="AL53" i="21" s="1"/>
  <c r="AK49" i="21"/>
  <c r="AL49" i="21" s="1"/>
  <c r="AK20" i="21"/>
  <c r="AL20" i="21" s="1"/>
  <c r="AK47" i="21"/>
  <c r="AL47" i="21" s="1"/>
  <c r="AK27" i="21"/>
  <c r="AL27" i="21" s="1"/>
  <c r="AK66" i="21"/>
  <c r="AL66" i="21" s="1"/>
  <c r="AK72" i="21"/>
  <c r="AL72" i="21" s="1"/>
  <c r="AK51" i="21"/>
  <c r="AL51" i="21" s="1"/>
  <c r="AK33" i="21"/>
  <c r="AL33" i="21" s="1"/>
  <c r="AK25" i="21"/>
  <c r="AL25" i="21" s="1"/>
  <c r="AK43" i="21"/>
  <c r="AL43" i="21" s="1"/>
  <c r="AK70" i="21"/>
  <c r="AL70" i="21" s="1"/>
  <c r="AL17" i="21"/>
  <c r="AI17" i="22" s="1"/>
  <c r="AI66" i="22" l="1"/>
  <c r="E66" i="26"/>
  <c r="E66" i="25"/>
  <c r="AI41" i="22"/>
  <c r="E41" i="25"/>
  <c r="E41" i="26"/>
  <c r="AI45" i="22"/>
  <c r="E45" i="26"/>
  <c r="E45" i="25"/>
  <c r="AI64" i="22"/>
  <c r="E64" i="25"/>
  <c r="E64" i="26"/>
  <c r="AI28" i="22"/>
  <c r="E28" i="26"/>
  <c r="E28" i="25"/>
  <c r="AI39" i="22"/>
  <c r="E39" i="25"/>
  <c r="E39" i="26"/>
  <c r="AI27" i="22"/>
  <c r="E27" i="26"/>
  <c r="E27" i="25"/>
  <c r="AI54" i="22"/>
  <c r="E54" i="25"/>
  <c r="E54" i="26"/>
  <c r="AI77" i="22"/>
  <c r="E77" i="26"/>
  <c r="E77" i="25"/>
  <c r="AI76" i="22"/>
  <c r="E76" i="26"/>
  <c r="E76" i="25"/>
  <c r="AI74" i="22"/>
  <c r="E74" i="26"/>
  <c r="E74" i="25"/>
  <c r="AI61" i="22"/>
  <c r="E61" i="26"/>
  <c r="E61" i="25"/>
  <c r="AI59" i="22"/>
  <c r="E59" i="26"/>
  <c r="E59" i="25"/>
  <c r="AI70" i="22"/>
  <c r="E70" i="25"/>
  <c r="E70" i="26"/>
  <c r="E47" i="25"/>
  <c r="E47" i="26"/>
  <c r="AI47" i="22"/>
  <c r="AI31" i="22"/>
  <c r="E31" i="25"/>
  <c r="E31" i="26"/>
  <c r="AI21" i="22"/>
  <c r="E21" i="26"/>
  <c r="E21" i="25"/>
  <c r="AI68" i="22"/>
  <c r="E68" i="26"/>
  <c r="E68" i="25"/>
  <c r="AI40" i="22"/>
  <c r="E40" i="25"/>
  <c r="E40" i="26"/>
  <c r="AI62" i="22"/>
  <c r="E62" i="25"/>
  <c r="E62" i="26"/>
  <c r="AI43" i="22"/>
  <c r="E43" i="26"/>
  <c r="E43" i="25"/>
  <c r="AI20" i="22"/>
  <c r="E20" i="26"/>
  <c r="E20" i="25"/>
  <c r="AI73" i="22"/>
  <c r="E73" i="25"/>
  <c r="E73" i="26"/>
  <c r="AI48" i="22"/>
  <c r="E48" i="25"/>
  <c r="E48" i="26"/>
  <c r="AI26" i="22"/>
  <c r="E26" i="26"/>
  <c r="E26" i="25"/>
  <c r="AI71" i="22"/>
  <c r="E71" i="25"/>
  <c r="E71" i="26"/>
  <c r="AI46" i="22"/>
  <c r="E46" i="25"/>
  <c r="E46" i="26"/>
  <c r="AI25" i="22"/>
  <c r="AJ25" i="22" s="1"/>
  <c r="AK25" i="22" s="1"/>
  <c r="AL25" i="22" s="1"/>
  <c r="E25" i="25"/>
  <c r="E25" i="26"/>
  <c r="AI49" i="22"/>
  <c r="E49" i="25"/>
  <c r="E49" i="26"/>
  <c r="AI58" i="22"/>
  <c r="E58" i="26"/>
  <c r="E58" i="25"/>
  <c r="AI19" i="22"/>
  <c r="E19" i="25"/>
  <c r="E19" i="26"/>
  <c r="AI75" i="22"/>
  <c r="E75" i="26"/>
  <c r="E75" i="25"/>
  <c r="AI63" i="22"/>
  <c r="E63" i="25"/>
  <c r="E63" i="26"/>
  <c r="AI52" i="22"/>
  <c r="E52" i="26"/>
  <c r="E52" i="25"/>
  <c r="AI42" i="22"/>
  <c r="E42" i="26"/>
  <c r="E42" i="25"/>
  <c r="AI33" i="22"/>
  <c r="E33" i="25"/>
  <c r="E33" i="26"/>
  <c r="AI53" i="22"/>
  <c r="E53" i="26"/>
  <c r="E53" i="25"/>
  <c r="AI55" i="22"/>
  <c r="E55" i="25"/>
  <c r="E55" i="26"/>
  <c r="AI67" i="22"/>
  <c r="E67" i="26"/>
  <c r="E67" i="25"/>
  <c r="AI30" i="22"/>
  <c r="E30" i="25"/>
  <c r="E30" i="26"/>
  <c r="AI32" i="22"/>
  <c r="E32" i="25"/>
  <c r="E32" i="26"/>
  <c r="E24" i="25"/>
  <c r="E24" i="26"/>
  <c r="AI24" i="22"/>
  <c r="AI57" i="22"/>
  <c r="E57" i="25"/>
  <c r="E57" i="26"/>
  <c r="AI51" i="22"/>
  <c r="E51" i="26"/>
  <c r="E51" i="25"/>
  <c r="AI44" i="22"/>
  <c r="E44" i="26"/>
  <c r="E44" i="25"/>
  <c r="AI34" i="22"/>
  <c r="E34" i="26"/>
  <c r="E34" i="25"/>
  <c r="AI78" i="22"/>
  <c r="E78" i="25"/>
  <c r="E78" i="26"/>
  <c r="AI29" i="22"/>
  <c r="E29" i="26"/>
  <c r="E29" i="25"/>
  <c r="AI56" i="22"/>
  <c r="E56" i="25"/>
  <c r="E56" i="26"/>
  <c r="AI22" i="22"/>
  <c r="E22" i="25"/>
  <c r="E22" i="26"/>
  <c r="AI60" i="22"/>
  <c r="E60" i="26"/>
  <c r="E60" i="25"/>
  <c r="AI72" i="22"/>
  <c r="E72" i="25"/>
  <c r="E72" i="26"/>
  <c r="AI35" i="22"/>
  <c r="E35" i="26"/>
  <c r="E35" i="25"/>
  <c r="AI36" i="22"/>
  <c r="E36" i="26"/>
  <c r="E36" i="25"/>
  <c r="AI38" i="22"/>
  <c r="E38" i="25"/>
  <c r="E38" i="26"/>
  <c r="AI69" i="22"/>
  <c r="E69" i="26"/>
  <c r="E69" i="25"/>
  <c r="AI23" i="22"/>
  <c r="E23" i="25"/>
  <c r="E23" i="26"/>
  <c r="AI37" i="22"/>
  <c r="E37" i="26"/>
  <c r="E37" i="25"/>
  <c r="AI50" i="22"/>
  <c r="E50" i="26"/>
  <c r="E50" i="25"/>
  <c r="AI65" i="22"/>
  <c r="E65" i="25"/>
  <c r="E65" i="26"/>
  <c r="AJ17" i="22"/>
  <c r="AK17" i="22" s="1"/>
  <c r="AL17" i="22" s="1"/>
  <c r="AM17" i="22" s="1"/>
  <c r="A11" i="23"/>
  <c r="AJ36" i="22" l="1"/>
  <c r="AK36" i="22" s="1"/>
  <c r="AL36" i="22" s="1"/>
  <c r="AJ34" i="22"/>
  <c r="AK34" i="22" s="1"/>
  <c r="AL34" i="22" s="1"/>
  <c r="AJ55" i="22"/>
  <c r="AK55" i="22" s="1"/>
  <c r="AL55" i="22" s="1"/>
  <c r="AJ58" i="22"/>
  <c r="AK58" i="22" s="1"/>
  <c r="AL58" i="22" s="1"/>
  <c r="AJ20" i="22"/>
  <c r="AK20" i="22" s="1"/>
  <c r="AL20" i="22" s="1"/>
  <c r="AJ70" i="22"/>
  <c r="AK70" i="22" s="1"/>
  <c r="AL70" i="22" s="1"/>
  <c r="AJ39" i="22"/>
  <c r="AK39" i="22" s="1"/>
  <c r="AL39" i="22" s="1"/>
  <c r="AJ46" i="22"/>
  <c r="AK46" i="22" s="1"/>
  <c r="AL46" i="22" s="1"/>
  <c r="AJ40" i="22"/>
  <c r="AK40" i="22" s="1"/>
  <c r="AL40" i="22" s="1"/>
  <c r="AJ74" i="22"/>
  <c r="AK74" i="22" s="1"/>
  <c r="AL74" i="22" s="1"/>
  <c r="AJ45" i="22"/>
  <c r="AK45" i="22" s="1"/>
  <c r="AL45" i="22" s="1"/>
  <c r="AJ69" i="22"/>
  <c r="AK69" i="22" s="1"/>
  <c r="AL69" i="22" s="1"/>
  <c r="AJ31" i="22"/>
  <c r="AK31" i="22" s="1"/>
  <c r="AL31" i="22" s="1"/>
  <c r="AJ54" i="22"/>
  <c r="AK54" i="22" s="1"/>
  <c r="AL54" i="22" s="1"/>
  <c r="AJ50" i="22"/>
  <c r="AK50" i="22" s="1"/>
  <c r="AL50" i="22" s="1"/>
  <c r="AJ60" i="22"/>
  <c r="AK60" i="22" s="1"/>
  <c r="AL60" i="22" s="1"/>
  <c r="AJ57" i="22"/>
  <c r="AK57" i="22" s="1"/>
  <c r="AL57" i="22" s="1"/>
  <c r="AJ43" i="22"/>
  <c r="AK43" i="22" s="1"/>
  <c r="AL43" i="22" s="1"/>
  <c r="AJ47" i="22"/>
  <c r="AK47" i="22" s="1"/>
  <c r="AL47" i="22" s="1"/>
  <c r="AJ59" i="22"/>
  <c r="AK59" i="22" s="1"/>
  <c r="AL59" i="22" s="1"/>
  <c r="AJ28" i="22"/>
  <c r="AK28" i="22" s="1"/>
  <c r="AL28" i="22" s="1"/>
  <c r="AJ75" i="22"/>
  <c r="AK75" i="22" s="1"/>
  <c r="AL75" i="22" s="1"/>
  <c r="AJ35" i="22"/>
  <c r="AK35" i="22" s="1"/>
  <c r="AL35" i="22" s="1"/>
  <c r="AJ49" i="22"/>
  <c r="AK49" i="22" s="1"/>
  <c r="AL49" i="22" s="1"/>
  <c r="AJ52" i="22"/>
  <c r="AK52" i="22" s="1"/>
  <c r="AL52" i="22" s="1"/>
  <c r="AJ68" i="22"/>
  <c r="AK68" i="22" s="1"/>
  <c r="AL68" i="22" s="1"/>
  <c r="AJ76" i="22"/>
  <c r="AK76" i="22" s="1"/>
  <c r="AL76" i="22" s="1"/>
  <c r="AJ41" i="22"/>
  <c r="AK41" i="22" s="1"/>
  <c r="AL41" i="22" s="1"/>
  <c r="AJ30" i="22"/>
  <c r="AK30" i="22" s="1"/>
  <c r="AL30" i="22" s="1"/>
  <c r="AJ71" i="22"/>
  <c r="AK71" i="22" s="1"/>
  <c r="AL71" i="22" s="1"/>
  <c r="AJ19" i="22"/>
  <c r="AK19" i="22" s="1"/>
  <c r="AL19" i="22" s="1"/>
  <c r="AJ73" i="22"/>
  <c r="AK73" i="22" s="1"/>
  <c r="AL73" i="22" s="1"/>
  <c r="AJ29" i="22"/>
  <c r="AK29" i="22" s="1"/>
  <c r="AL29" i="22" s="1"/>
  <c r="AJ44" i="22"/>
  <c r="AK44" i="22" s="1"/>
  <c r="AL44" i="22" s="1"/>
  <c r="AJ37" i="22"/>
  <c r="AK37" i="22" s="1"/>
  <c r="AL37" i="22" s="1"/>
  <c r="AJ38" i="22"/>
  <c r="AK38" i="22" s="1"/>
  <c r="AL38" i="22" s="1"/>
  <c r="AJ78" i="22"/>
  <c r="AK78" i="22" s="1"/>
  <c r="AL78" i="22" s="1"/>
  <c r="AJ27" i="22"/>
  <c r="AK27" i="22" s="1"/>
  <c r="AL27" i="22" s="1"/>
  <c r="AJ42" i="22"/>
  <c r="AK42" i="22" s="1"/>
  <c r="AL42" i="22" s="1"/>
  <c r="AJ24" i="22"/>
  <c r="AK24" i="22" s="1"/>
  <c r="AL24" i="22" s="1"/>
  <c r="AJ48" i="22"/>
  <c r="AK48" i="22" s="1"/>
  <c r="AL48" i="22" s="1"/>
  <c r="AJ53" i="22"/>
  <c r="AK53" i="22" s="1"/>
  <c r="AL53" i="22" s="1"/>
  <c r="AJ22" i="22"/>
  <c r="AK22" i="22" s="1"/>
  <c r="AL22" i="22" s="1"/>
  <c r="AJ67" i="22"/>
  <c r="AK67" i="22" s="1"/>
  <c r="AL67" i="22" s="1"/>
  <c r="AJ65" i="22"/>
  <c r="AK65" i="22" s="1"/>
  <c r="AL65" i="22" s="1"/>
  <c r="AJ72" i="22"/>
  <c r="AK72" i="22" s="1"/>
  <c r="AL72" i="22" s="1"/>
  <c r="AJ51" i="22"/>
  <c r="AK51" i="22" s="1"/>
  <c r="AL51" i="22" s="1"/>
  <c r="AJ33" i="22"/>
  <c r="AK33" i="22" s="1"/>
  <c r="AL33" i="22" s="1"/>
  <c r="AM25" i="22"/>
  <c r="G25" i="26" s="1"/>
  <c r="F25" i="26"/>
  <c r="AJ62" i="22"/>
  <c r="AK62" i="22" s="1"/>
  <c r="AL62" i="22" s="1"/>
  <c r="AJ61" i="22"/>
  <c r="AK61" i="22" s="1"/>
  <c r="AL61" i="22" s="1"/>
  <c r="AJ64" i="22"/>
  <c r="AK64" i="22" s="1"/>
  <c r="AL64" i="22" s="1"/>
  <c r="AJ23" i="22"/>
  <c r="AK23" i="22" s="1"/>
  <c r="AL23" i="22" s="1"/>
  <c r="AJ56" i="22"/>
  <c r="AK56" i="22" s="1"/>
  <c r="AL56" i="22" s="1"/>
  <c r="AJ32" i="22"/>
  <c r="AK32" i="22" s="1"/>
  <c r="AL32" i="22" s="1"/>
  <c r="AJ63" i="22"/>
  <c r="AK63" i="22" s="1"/>
  <c r="AL63" i="22" s="1"/>
  <c r="AJ26" i="22"/>
  <c r="AK26" i="22" s="1"/>
  <c r="AL26" i="22" s="1"/>
  <c r="AJ21" i="22"/>
  <c r="AK21" i="22" s="1"/>
  <c r="AL21" i="22" s="1"/>
  <c r="AJ77" i="22"/>
  <c r="AK77" i="22" s="1"/>
  <c r="AL77" i="22" s="1"/>
  <c r="AJ66" i="22"/>
  <c r="AK66" i="22" s="1"/>
  <c r="AL66" i="22" s="1"/>
  <c r="AM51" i="22" l="1"/>
  <c r="G51" i="26" s="1"/>
  <c r="F51" i="26"/>
  <c r="AM56" i="22"/>
  <c r="G56" i="26" s="1"/>
  <c r="F56" i="26"/>
  <c r="AM35" i="22"/>
  <c r="G35" i="26" s="1"/>
  <c r="F35" i="26"/>
  <c r="F19" i="26"/>
  <c r="AM19" i="22"/>
  <c r="G19" i="26" s="1"/>
  <c r="AM32" i="22"/>
  <c r="G32" i="26" s="1"/>
  <c r="F32" i="26"/>
  <c r="AM33" i="22"/>
  <c r="G33" i="26" s="1"/>
  <c r="F33" i="26"/>
  <c r="AM24" i="22"/>
  <c r="G24" i="26" s="1"/>
  <c r="F24" i="26"/>
  <c r="AM73" i="22"/>
  <c r="G73" i="26" s="1"/>
  <c r="F73" i="26"/>
  <c r="AM49" i="22"/>
  <c r="G49" i="26" s="1"/>
  <c r="F49" i="26"/>
  <c r="AM60" i="22"/>
  <c r="G60" i="26" s="1"/>
  <c r="F60" i="26"/>
  <c r="AM46" i="22"/>
  <c r="G46" i="26" s="1"/>
  <c r="F46" i="26"/>
  <c r="AM42" i="22"/>
  <c r="G42" i="26" s="1"/>
  <c r="F42" i="26"/>
  <c r="AM50" i="22"/>
  <c r="G50" i="26" s="1"/>
  <c r="F50" i="26"/>
  <c r="AM39" i="22"/>
  <c r="G39" i="26" s="1"/>
  <c r="F39" i="26"/>
  <c r="AM23" i="22"/>
  <c r="G23" i="26" s="1"/>
  <c r="F23" i="26"/>
  <c r="AM72" i="22"/>
  <c r="G72" i="26" s="1"/>
  <c r="F72" i="26"/>
  <c r="AM27" i="22"/>
  <c r="G27" i="26" s="1"/>
  <c r="F27" i="26"/>
  <c r="AM71" i="22"/>
  <c r="G71" i="26" s="1"/>
  <c r="F71" i="26"/>
  <c r="AM75" i="22"/>
  <c r="G75" i="26" s="1"/>
  <c r="F75" i="26"/>
  <c r="AM54" i="22"/>
  <c r="G54" i="26" s="1"/>
  <c r="F54" i="26"/>
  <c r="AM70" i="22"/>
  <c r="G70" i="26" s="1"/>
  <c r="F70" i="26"/>
  <c r="AM66" i="22"/>
  <c r="G66" i="26" s="1"/>
  <c r="F66" i="26"/>
  <c r="AM64" i="22"/>
  <c r="G64" i="26" s="1"/>
  <c r="F64" i="26"/>
  <c r="AM65" i="22"/>
  <c r="G65" i="26" s="1"/>
  <c r="F65" i="26"/>
  <c r="AM78" i="22"/>
  <c r="G78" i="26" s="1"/>
  <c r="F78" i="26"/>
  <c r="AM30" i="22"/>
  <c r="G30" i="26" s="1"/>
  <c r="F30" i="26"/>
  <c r="AM28" i="22"/>
  <c r="G28" i="26" s="1"/>
  <c r="F28" i="26"/>
  <c r="AM31" i="22"/>
  <c r="G31" i="26" s="1"/>
  <c r="F31" i="26"/>
  <c r="AM20" i="22"/>
  <c r="G20" i="26" s="1"/>
  <c r="F20" i="26"/>
  <c r="AM77" i="22"/>
  <c r="G77" i="26" s="1"/>
  <c r="F77" i="26"/>
  <c r="AM61" i="22"/>
  <c r="G61" i="26" s="1"/>
  <c r="F61" i="26"/>
  <c r="AM67" i="22"/>
  <c r="G67" i="26" s="1"/>
  <c r="F67" i="26"/>
  <c r="AM38" i="22"/>
  <c r="G38" i="26" s="1"/>
  <c r="F38" i="26"/>
  <c r="AM41" i="22"/>
  <c r="G41" i="26" s="1"/>
  <c r="F41" i="26"/>
  <c r="AM59" i="22"/>
  <c r="G59" i="26" s="1"/>
  <c r="F59" i="26"/>
  <c r="AM69" i="22"/>
  <c r="G69" i="26" s="1"/>
  <c r="F69" i="26"/>
  <c r="AM58" i="22"/>
  <c r="G58" i="26" s="1"/>
  <c r="F58" i="26"/>
  <c r="AM21" i="22"/>
  <c r="G21" i="26" s="1"/>
  <c r="F21" i="26"/>
  <c r="AM62" i="22"/>
  <c r="G62" i="26" s="1"/>
  <c r="F62" i="26"/>
  <c r="AM22" i="22"/>
  <c r="G22" i="26" s="1"/>
  <c r="F22" i="26"/>
  <c r="AM37" i="22"/>
  <c r="G37" i="26" s="1"/>
  <c r="F37" i="26"/>
  <c r="AM76" i="22"/>
  <c r="G76" i="26" s="1"/>
  <c r="F76" i="26"/>
  <c r="AM47" i="22"/>
  <c r="G47" i="26" s="1"/>
  <c r="F47" i="26"/>
  <c r="AM45" i="22"/>
  <c r="G45" i="26" s="1"/>
  <c r="F45" i="26"/>
  <c r="AM55" i="22"/>
  <c r="G55" i="26" s="1"/>
  <c r="F55" i="26"/>
  <c r="AM26" i="22"/>
  <c r="G26" i="26" s="1"/>
  <c r="F26" i="26"/>
  <c r="AM53" i="22"/>
  <c r="G53" i="26" s="1"/>
  <c r="F53" i="26"/>
  <c r="AM44" i="22"/>
  <c r="G44" i="26" s="1"/>
  <c r="F44" i="26"/>
  <c r="AM68" i="22"/>
  <c r="G68" i="26" s="1"/>
  <c r="F68" i="26"/>
  <c r="AM43" i="22"/>
  <c r="G43" i="26" s="1"/>
  <c r="F43" i="26"/>
  <c r="AM74" i="22"/>
  <c r="G74" i="26" s="1"/>
  <c r="F74" i="26"/>
  <c r="AM34" i="22"/>
  <c r="G34" i="26" s="1"/>
  <c r="F34" i="26"/>
  <c r="AM63" i="22"/>
  <c r="G63" i="26" s="1"/>
  <c r="F63" i="26"/>
  <c r="AM48" i="22"/>
  <c r="G48" i="26" s="1"/>
  <c r="F48" i="26"/>
  <c r="AM29" i="22"/>
  <c r="G29" i="26" s="1"/>
  <c r="F29" i="26"/>
  <c r="AM52" i="22"/>
  <c r="G52" i="26" s="1"/>
  <c r="F52" i="26"/>
  <c r="AM57" i="22"/>
  <c r="G57" i="26" s="1"/>
  <c r="F57" i="26"/>
  <c r="AM40" i="22"/>
  <c r="G40" i="26" s="1"/>
  <c r="F40" i="26"/>
  <c r="AM36" i="22"/>
  <c r="G36" i="26" s="1"/>
  <c r="F36" i="26"/>
</calcChain>
</file>

<file path=xl/sharedStrings.xml><?xml version="1.0" encoding="utf-8"?>
<sst xmlns="http://schemas.openxmlformats.org/spreadsheetml/2006/main" count="385" uniqueCount="148">
  <si>
    <t>TALISAY CITY COLLEGE</t>
  </si>
  <si>
    <t>Poblacion, Talisay City, Cebu</t>
  </si>
  <si>
    <t>NAME</t>
  </si>
  <si>
    <t>MIDTERM GRADE</t>
  </si>
  <si>
    <t>%EQ</t>
  </si>
  <si>
    <t>GE</t>
  </si>
  <si>
    <t>#</t>
  </si>
  <si>
    <t>FAMILY NAME</t>
  </si>
  <si>
    <t>,</t>
  </si>
  <si>
    <t>FIRST NAME</t>
  </si>
  <si>
    <t>REMARKS</t>
  </si>
  <si>
    <t>PRELIM GRADE</t>
  </si>
  <si>
    <t>P r e l i m</t>
  </si>
  <si>
    <t>FNL_FINAL GRADE</t>
  </si>
  <si>
    <t xml:space="preserve">Instructor : </t>
  </si>
  <si>
    <t>M.I.</t>
  </si>
  <si>
    <t>Prepared by:</t>
  </si>
  <si>
    <t>Faculty</t>
  </si>
  <si>
    <t>91 - 92</t>
  </si>
  <si>
    <t>93 - 94</t>
  </si>
  <si>
    <t>95 - 96</t>
  </si>
  <si>
    <t>97 - 98</t>
  </si>
  <si>
    <t>99 - 100</t>
  </si>
  <si>
    <t>PRELIM - MIDTERM</t>
  </si>
  <si>
    <t>FINAL</t>
  </si>
  <si>
    <t>NO.</t>
  </si>
  <si>
    <t>LAST NAME</t>
  </si>
  <si>
    <t>MI</t>
  </si>
  <si>
    <t>IMPORTANT NOTES:</t>
  </si>
  <si>
    <t>Invalid Entries</t>
  </si>
  <si>
    <t>This Electronic Class Record Template will display #REF and will not compute if</t>
  </si>
  <si>
    <t>* the data entered is not a numeric type</t>
  </si>
  <si>
    <t>Security</t>
  </si>
  <si>
    <t>For security reasons, we add protection to the worksheet and other locked cells to prevent erroneous computations</t>
  </si>
  <si>
    <t>M I D T E R M</t>
  </si>
  <si>
    <t>INITIAL MIDTERM GRADE</t>
  </si>
  <si>
    <t>MIDTERM  GRADE</t>
  </si>
  <si>
    <t>F I N A L</t>
  </si>
  <si>
    <t>INITIAL FINAL GRADE</t>
  </si>
  <si>
    <t>FINAL  GRADE</t>
  </si>
  <si>
    <t>Schedule:</t>
  </si>
  <si>
    <t>Instructor:</t>
  </si>
  <si>
    <t>* some cells are deleted</t>
  </si>
  <si>
    <t xml:space="preserve">Checked by: </t>
  </si>
  <si>
    <t>Noted by:</t>
  </si>
  <si>
    <t>RICHEL N. BACALTOS, Ed.D</t>
  </si>
  <si>
    <t>College President</t>
  </si>
  <si>
    <t>* the Score and No. of items is blank</t>
  </si>
  <si>
    <t>TO</t>
  </si>
  <si>
    <t>ST</t>
  </si>
  <si>
    <t>ATTENDANCE 
(15%)</t>
  </si>
  <si>
    <t>MAJOR EXAM
(25%)</t>
  </si>
  <si>
    <t>A1</t>
  </si>
  <si>
    <t>A2</t>
  </si>
  <si>
    <t>A3</t>
  </si>
  <si>
    <t>A4</t>
  </si>
  <si>
    <t>A5</t>
  </si>
  <si>
    <t>A6</t>
  </si>
  <si>
    <t>CW1</t>
  </si>
  <si>
    <t>CW2</t>
  </si>
  <si>
    <t>CW3</t>
  </si>
  <si>
    <t>CW4</t>
  </si>
  <si>
    <t>CW5</t>
  </si>
  <si>
    <t>MP</t>
  </si>
  <si>
    <t>PARTICIPATION and OTHER COURSEWORK
(35%)</t>
  </si>
  <si>
    <t>MAJOR PERFORMANCE 
(25%)</t>
  </si>
  <si>
    <t>Republic of the Philippines</t>
  </si>
  <si>
    <t>Province of Cebu</t>
  </si>
  <si>
    <t>City of Talisay</t>
  </si>
  <si>
    <t>COLLEGIATE GRADE SHEET</t>
  </si>
  <si>
    <t>No.</t>
  </si>
  <si>
    <t>NAME OF STUDENTS</t>
  </si>
  <si>
    <t>PERIODIC</t>
  </si>
  <si>
    <t>PRELIM</t>
  </si>
  <si>
    <t>MIDTERM</t>
  </si>
  <si>
    <t>RUEL B. DEJAN</t>
  </si>
  <si>
    <t>Instructor's Signature</t>
  </si>
  <si>
    <t>Course No.</t>
  </si>
  <si>
    <t>Descriptive Title</t>
  </si>
  <si>
    <t>Course No:</t>
  </si>
  <si>
    <t>BACALSO</t>
  </si>
  <si>
    <t>HELEN</t>
  </si>
  <si>
    <t>S.</t>
  </si>
  <si>
    <t>PROGRAM</t>
  </si>
  <si>
    <t>BSED-MATH</t>
  </si>
  <si>
    <t>Descriptive Title:</t>
  </si>
  <si>
    <t>COURSES-IN-CHARGE</t>
  </si>
  <si>
    <t>BSED</t>
  </si>
  <si>
    <t>B IndTech</t>
  </si>
  <si>
    <t>CATHERINE P. ALFANTE</t>
  </si>
  <si>
    <t>SHARA KEIF S. ECHAVEZ</t>
  </si>
  <si>
    <t>BSHM/ BSTM</t>
  </si>
  <si>
    <t>BEED/ BS-ENTREP/BA-POLSCI/BPED</t>
  </si>
  <si>
    <t>66 - 74</t>
  </si>
  <si>
    <t>71 - 74</t>
  </si>
  <si>
    <t>57 - 65</t>
  </si>
  <si>
    <t>67 - 70</t>
  </si>
  <si>
    <t>49 - 56</t>
  </si>
  <si>
    <t>63 - 66</t>
  </si>
  <si>
    <t>41 - 48</t>
  </si>
  <si>
    <t>59 - 62</t>
  </si>
  <si>
    <t>33 - 40</t>
  </si>
  <si>
    <t>55 - 58</t>
  </si>
  <si>
    <t>25 - 32</t>
  </si>
  <si>
    <t>51 - 54</t>
  </si>
  <si>
    <t>17 - 24</t>
  </si>
  <si>
    <t>47 - 50</t>
  </si>
  <si>
    <t>9 - 16</t>
  </si>
  <si>
    <t>43 - 46</t>
  </si>
  <si>
    <t>1 - 8</t>
  </si>
  <si>
    <t>39 - 42</t>
  </si>
  <si>
    <t>35 - 38</t>
  </si>
  <si>
    <t>31 - 34</t>
  </si>
  <si>
    <t>27 - 30</t>
  </si>
  <si>
    <t>23 - 26</t>
  </si>
  <si>
    <t>19 - 22</t>
  </si>
  <si>
    <t>15 - 18</t>
  </si>
  <si>
    <t>11 - 14</t>
  </si>
  <si>
    <t>7 - 10</t>
  </si>
  <si>
    <t>4 - 6</t>
  </si>
  <si>
    <t>1 - 3</t>
  </si>
  <si>
    <t>First Semester, A.Y. 2026 - 2027</t>
  </si>
  <si>
    <t>Program:</t>
  </si>
  <si>
    <t>S.Y./ Semester:</t>
  </si>
  <si>
    <t>1/2</t>
  </si>
  <si>
    <t>4/5</t>
  </si>
  <si>
    <t>1/5</t>
  </si>
  <si>
    <t>Year and Section:</t>
  </si>
  <si>
    <t xml:space="preserve">  </t>
  </si>
  <si>
    <t>BIndTech Course-in-Charge</t>
  </si>
  <si>
    <t>ANDRO ATISORA</t>
  </si>
  <si>
    <t>KARREN BACALSO</t>
  </si>
  <si>
    <t>Checked by</t>
  </si>
  <si>
    <t>Coursework</t>
  </si>
  <si>
    <t>Minimum number of entries per term</t>
  </si>
  <si>
    <t>*Prelim: 4</t>
  </si>
  <si>
    <t>*Midterm: 4</t>
  </si>
  <si>
    <t>*Final: 3</t>
  </si>
  <si>
    <t>CW6</t>
  </si>
  <si>
    <t>kindly indicate your immediate head (dean or department chair). In the case of those teaching courses from other departments,</t>
  </si>
  <si>
    <t>indicate the dean or department chair where the course/ subject you are teaching belongs.</t>
  </si>
  <si>
    <t>Department of Business Management &amp; Entrepreneurship</t>
  </si>
  <si>
    <t>MARL VINCENT L. LABITAD, MPA</t>
  </si>
  <si>
    <t>Head, Department of Business Management &amp; Entrepreneurship</t>
  </si>
  <si>
    <t>ABM 1</t>
  </si>
  <si>
    <t>ORGANZIATION AND MANAGEMENT</t>
  </si>
  <si>
    <t>BSHM 1 - DAISY</t>
  </si>
  <si>
    <t>MONDAY (9:00-10:30 AM) &amp; WED (7:30-9:00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</si>
</sst>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22"/>
      <color rgb="FFFF0000"/>
      <name val="Monotype Corsiva"/>
      <family val="4"/>
    </font>
    <font>
      <b/>
      <sz val="12"/>
      <color theme="1"/>
      <name val="Arial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000000"/>
      <name val="Arial Narrow"/>
      <family val="2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b/>
      <sz val="10"/>
      <color rgb="FFCA1FDA"/>
      <name val="Arial Narrow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Arial Narrow"/>
      <family val="2"/>
    </font>
    <font>
      <b/>
      <sz val="26"/>
      <color theme="1"/>
      <name val="Arial Narrow"/>
      <family val="2"/>
    </font>
    <font>
      <b/>
      <sz val="11"/>
      <name val="Arial Narrow"/>
      <family val="2"/>
    </font>
    <font>
      <b/>
      <sz val="36"/>
      <color rgb="FF0000D5"/>
      <name val="Monotype Corsiva"/>
      <family val="4"/>
    </font>
    <font>
      <b/>
      <sz val="24"/>
      <name val="Perpetua Titling MT"/>
      <family val="1"/>
    </font>
    <font>
      <b/>
      <sz val="14"/>
      <color rgb="FF000000"/>
      <name val="Arial"/>
      <family val="2"/>
    </font>
    <font>
      <b/>
      <sz val="2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B050"/>
      <name val="Arial Narrow"/>
      <family val="2"/>
    </font>
    <font>
      <sz val="10"/>
      <color rgb="FF0A00FF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sz val="12"/>
      <color rgb="FF0A00FF"/>
      <name val="Calibri"/>
      <family val="2"/>
      <scheme val="minor"/>
    </font>
    <font>
      <b/>
      <sz val="10"/>
      <color theme="1"/>
      <name val="Arial"/>
      <family val="2"/>
    </font>
    <font>
      <sz val="12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2"/>
      <color rgb="FF00B050"/>
      <name val="Arial"/>
      <family val="2"/>
    </font>
    <font>
      <sz val="11"/>
      <color rgb="FF00B050"/>
      <name val="Arial"/>
      <family val="2"/>
    </font>
    <font>
      <sz val="20"/>
      <color rgb="FFFF0000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20"/>
      <color rgb="FF0A00FF"/>
      <name val="Calibri"/>
      <family val="2"/>
      <scheme val="minor"/>
    </font>
    <font>
      <sz val="12"/>
      <color rgb="FF0A00FF"/>
      <name val="Arial"/>
      <family val="2"/>
    </font>
    <font>
      <sz val="11"/>
      <color rgb="FF0A00FF"/>
      <name val="Arial"/>
      <family val="2"/>
    </font>
    <font>
      <sz val="12"/>
      <color rgb="FF7030A0"/>
      <name val="Calibri"/>
      <family val="2"/>
      <scheme val="minor"/>
    </font>
    <font>
      <sz val="20"/>
      <color rgb="FF7030A0"/>
      <name val="Calibri"/>
      <family val="2"/>
      <scheme val="minor"/>
    </font>
    <font>
      <sz val="10"/>
      <color rgb="FF7030A0"/>
      <name val="Arial Narrow"/>
      <family val="2"/>
    </font>
    <font>
      <sz val="12"/>
      <color rgb="FF7030A0"/>
      <name val="Arial"/>
      <family val="2"/>
    </font>
    <font>
      <sz val="11"/>
      <color rgb="FF7030A0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Mongolian Baiti"/>
      <family val="4"/>
      <charset val="134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color rgb="FF0723FF"/>
      <name val="Arial Narrow"/>
      <family val="2"/>
    </font>
    <font>
      <b/>
      <sz val="11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ECC9F9"/>
        <bgColor indexed="64"/>
      </patternFill>
    </fill>
    <fill>
      <patternFill patternType="solid">
        <fgColor rgb="FFD0D2FF"/>
        <bgColor indexed="64"/>
      </patternFill>
    </fill>
    <fill>
      <patternFill patternType="solid">
        <fgColor rgb="FFFCDB7D"/>
        <bgColor indexed="64"/>
      </patternFill>
    </fill>
    <fill>
      <patternFill patternType="solid">
        <fgColor rgb="FFFDB9B8"/>
        <bgColor indexed="64"/>
      </patternFill>
    </fill>
    <fill>
      <patternFill patternType="solid">
        <fgColor rgb="FFF5E5EA"/>
        <bgColor rgb="FF000000"/>
      </patternFill>
    </fill>
    <fill>
      <patternFill patternType="solid">
        <fgColor rgb="FFF5E5EA"/>
        <bgColor indexed="64"/>
      </patternFill>
    </fill>
  </fills>
  <borders count="6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723FF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0723FF"/>
      </top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6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30">
    <xf numFmtId="0" fontId="0" fillId="0" borderId="0" xfId="0"/>
    <xf numFmtId="0" fontId="1" fillId="0" borderId="0" xfId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164" fontId="11" fillId="2" borderId="12" xfId="1" applyNumberFormat="1" applyFont="1" applyFill="1" applyBorder="1" applyAlignment="1">
      <alignment horizontal="center" vertical="center"/>
    </xf>
    <xf numFmtId="164" fontId="11" fillId="2" borderId="21" xfId="1" applyNumberFormat="1" applyFont="1" applyFill="1" applyBorder="1" applyAlignment="1">
      <alignment horizontal="center" vertical="center"/>
    </xf>
    <xf numFmtId="164" fontId="7" fillId="3" borderId="5" xfId="1" applyNumberFormat="1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0" fontId="4" fillId="0" borderId="13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0" fillId="0" borderId="14" xfId="0" applyBorder="1"/>
    <xf numFmtId="0" fontId="3" fillId="0" borderId="13" xfId="0" applyFont="1" applyBorder="1" applyProtection="1">
      <protection locked="0"/>
    </xf>
    <xf numFmtId="0" fontId="3" fillId="0" borderId="18" xfId="0" applyFont="1" applyBorder="1" applyProtection="1">
      <protection locked="0"/>
    </xf>
    <xf numFmtId="0" fontId="3" fillId="0" borderId="19" xfId="0" applyFont="1" applyBorder="1" applyProtection="1">
      <protection locked="0"/>
    </xf>
    <xf numFmtId="0" fontId="3" fillId="0" borderId="14" xfId="0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6" fillId="0" borderId="0" xfId="0" applyFont="1" applyProtection="1">
      <protection locked="0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quotePrefix="1" applyBorder="1" applyAlignment="1">
      <alignment horizontal="center" vertical="center"/>
    </xf>
    <xf numFmtId="164" fontId="7" fillId="3" borderId="30" xfId="1" applyNumberFormat="1" applyFont="1" applyFill="1" applyBorder="1" applyAlignment="1">
      <alignment horizontal="center" vertical="center"/>
    </xf>
    <xf numFmtId="164" fontId="7" fillId="3" borderId="35" xfId="1" applyNumberFormat="1" applyFont="1" applyFill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0" fontId="3" fillId="0" borderId="4" xfId="0" applyFont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19" xfId="0" applyBorder="1"/>
    <xf numFmtId="0" fontId="0" fillId="0" borderId="20" xfId="0" applyBorder="1"/>
    <xf numFmtId="0" fontId="1" fillId="0" borderId="19" xfId="1" applyBorder="1" applyAlignment="1">
      <alignment horizontal="center" vertical="center"/>
    </xf>
    <xf numFmtId="164" fontId="7" fillId="3" borderId="12" xfId="1" applyNumberFormat="1" applyFont="1" applyFill="1" applyBorder="1" applyAlignment="1">
      <alignment horizontal="center" vertical="center"/>
    </xf>
    <xf numFmtId="164" fontId="7" fillId="3" borderId="10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0" fontId="0" fillId="0" borderId="13" xfId="0" applyBorder="1"/>
    <xf numFmtId="0" fontId="1" fillId="0" borderId="14" xfId="1" applyBorder="1"/>
    <xf numFmtId="0" fontId="1" fillId="0" borderId="13" xfId="1" applyBorder="1"/>
    <xf numFmtId="0" fontId="29" fillId="0" borderId="0" xfId="0" applyFont="1" applyProtection="1">
      <protection locked="0"/>
    </xf>
    <xf numFmtId="0" fontId="31" fillId="0" borderId="0" xfId="0" applyFont="1"/>
    <xf numFmtId="0" fontId="6" fillId="0" borderId="0" xfId="0" applyFont="1"/>
    <xf numFmtId="0" fontId="3" fillId="0" borderId="0" xfId="0" applyFont="1"/>
    <xf numFmtId="0" fontId="7" fillId="0" borderId="3" xfId="1" applyFont="1" applyBorder="1" applyAlignment="1">
      <alignment horizontal="left" vertical="center"/>
    </xf>
    <xf numFmtId="0" fontId="7" fillId="0" borderId="4" xfId="1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30" fillId="0" borderId="0" xfId="0" applyFont="1" applyProtection="1">
      <protection locked="0"/>
    </xf>
    <xf numFmtId="164" fontId="24" fillId="0" borderId="32" xfId="0" applyNumberFormat="1" applyFont="1" applyBorder="1" applyAlignment="1">
      <alignment horizontal="center" vertical="center"/>
    </xf>
    <xf numFmtId="0" fontId="24" fillId="0" borderId="0" xfId="0" applyFont="1"/>
    <xf numFmtId="0" fontId="6" fillId="0" borderId="0" xfId="0" applyFont="1" applyAlignment="1">
      <alignment horizontal="left" vertical="center"/>
    </xf>
    <xf numFmtId="0" fontId="24" fillId="0" borderId="0" xfId="0" applyFont="1" applyAlignment="1" applyProtection="1">
      <alignment vertical="center"/>
      <protection locked="0"/>
    </xf>
    <xf numFmtId="0" fontId="24" fillId="0" borderId="0" xfId="0" quotePrefix="1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12" xfId="1" applyFont="1" applyBorder="1" applyAlignment="1">
      <alignment horizontal="left" vertical="top"/>
    </xf>
    <xf numFmtId="0" fontId="16" fillId="0" borderId="24" xfId="1" applyFont="1" applyBorder="1"/>
    <xf numFmtId="0" fontId="7" fillId="0" borderId="25" xfId="1" applyFont="1" applyBorder="1"/>
    <xf numFmtId="0" fontId="7" fillId="0" borderId="27" xfId="1" applyFont="1" applyBorder="1"/>
    <xf numFmtId="0" fontId="16" fillId="0" borderId="26" xfId="1" applyFont="1" applyBorder="1"/>
    <xf numFmtId="0" fontId="7" fillId="0" borderId="24" xfId="1" applyFont="1" applyBorder="1"/>
    <xf numFmtId="0" fontId="7" fillId="0" borderId="26" xfId="1" applyFont="1" applyBorder="1"/>
    <xf numFmtId="0" fontId="7" fillId="0" borderId="10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/>
    </xf>
    <xf numFmtId="0" fontId="23" fillId="0" borderId="32" xfId="0" applyFont="1" applyBorder="1" applyAlignment="1" applyProtection="1">
      <alignment horizontal="center" vertical="center"/>
      <protection locked="0"/>
    </xf>
    <xf numFmtId="0" fontId="32" fillId="0" borderId="32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7" fillId="0" borderId="41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31" xfId="1" applyFont="1" applyBorder="1" applyAlignment="1">
      <alignment horizontal="left" vertical="center"/>
    </xf>
    <xf numFmtId="0" fontId="7" fillId="0" borderId="32" xfId="1" applyFont="1" applyBorder="1" applyAlignment="1">
      <alignment horizontal="left" vertical="center"/>
    </xf>
    <xf numFmtId="0" fontId="7" fillId="0" borderId="33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43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7" fillId="0" borderId="4" xfId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6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6" fillId="0" borderId="4" xfId="1" applyFont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8" fillId="0" borderId="19" xfId="0" applyFont="1" applyBorder="1" applyAlignment="1" applyProtection="1">
      <alignment horizontal="center" vertical="center"/>
      <protection locked="0"/>
    </xf>
    <xf numFmtId="0" fontId="34" fillId="0" borderId="0" xfId="1" applyFont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0" borderId="4" xfId="1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44" fillId="0" borderId="19" xfId="0" applyFont="1" applyBorder="1" applyAlignment="1" applyProtection="1">
      <alignment horizontal="center" vertical="center"/>
      <protection locked="0"/>
    </xf>
    <xf numFmtId="0" fontId="46" fillId="0" borderId="0" xfId="1" applyFont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8" fillId="0" borderId="4" xfId="1" applyFont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horizontal="center" vertical="center"/>
      <protection locked="0"/>
    </xf>
    <xf numFmtId="0" fontId="49" fillId="0" borderId="19" xfId="0" applyFont="1" applyBorder="1" applyAlignment="1" applyProtection="1">
      <alignment horizontal="center" vertical="center"/>
      <protection locked="0"/>
    </xf>
    <xf numFmtId="2" fontId="33" fillId="0" borderId="0" xfId="1" applyNumberFormat="1" applyFont="1" applyAlignment="1">
      <alignment horizontal="center" vertical="center"/>
    </xf>
    <xf numFmtId="2" fontId="40" fillId="0" borderId="0" xfId="1" applyNumberFormat="1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2" fontId="10" fillId="0" borderId="4" xfId="1" applyNumberFormat="1" applyFont="1" applyBorder="1" applyAlignment="1" applyProtection="1">
      <alignment horizontal="center" vertical="center"/>
      <protection locked="0"/>
    </xf>
    <xf numFmtId="2" fontId="41" fillId="0" borderId="0" xfId="0" applyNumberFormat="1" applyFont="1" applyAlignment="1" applyProtection="1">
      <alignment horizontal="center" vertical="center"/>
      <protection locked="0"/>
    </xf>
    <xf numFmtId="2" fontId="42" fillId="0" borderId="0" xfId="0" applyNumberFormat="1" applyFont="1" applyAlignment="1" applyProtection="1">
      <alignment horizontal="center" vertical="center"/>
      <protection locked="0"/>
    </xf>
    <xf numFmtId="2" fontId="41" fillId="0" borderId="19" xfId="0" applyNumberFormat="1" applyFont="1" applyBorder="1" applyAlignment="1" applyProtection="1">
      <alignment horizontal="center" vertical="center"/>
      <protection locked="0"/>
    </xf>
    <xf numFmtId="164" fontId="7" fillId="3" borderId="41" xfId="1" applyNumberFormat="1" applyFont="1" applyFill="1" applyBorder="1" applyAlignment="1">
      <alignment horizontal="center" vertical="center"/>
    </xf>
    <xf numFmtId="164" fontId="11" fillId="2" borderId="10" xfId="1" applyNumberFormat="1" applyFont="1" applyFill="1" applyBorder="1" applyAlignment="1">
      <alignment horizontal="center" vertical="center"/>
    </xf>
    <xf numFmtId="164" fontId="11" fillId="2" borderId="41" xfId="1" applyNumberFormat="1" applyFont="1" applyFill="1" applyBorder="1" applyAlignment="1">
      <alignment horizontal="center" vertical="center"/>
    </xf>
    <xf numFmtId="164" fontId="7" fillId="3" borderId="45" xfId="1" applyNumberFormat="1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164" fontId="7" fillId="3" borderId="39" xfId="1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164" fontId="7" fillId="3" borderId="34" xfId="1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164" fontId="7" fillId="3" borderId="40" xfId="1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/>
    </xf>
    <xf numFmtId="0" fontId="0" fillId="0" borderId="37" xfId="0" applyBorder="1"/>
    <xf numFmtId="2" fontId="3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Continuous" vertical="center"/>
    </xf>
    <xf numFmtId="0" fontId="51" fillId="0" borderId="0" xfId="0" applyFont="1" applyAlignment="1">
      <alignment horizontal="centerContinuous" vertical="center"/>
    </xf>
    <xf numFmtId="0" fontId="0" fillId="0" borderId="49" xfId="0" applyBorder="1" applyAlignment="1">
      <alignment horizontal="centerContinuous" vertical="center"/>
    </xf>
    <xf numFmtId="0" fontId="0" fillId="0" borderId="50" xfId="0" applyBorder="1" applyAlignment="1">
      <alignment horizontal="centerContinuous" vertical="center"/>
    </xf>
    <xf numFmtId="0" fontId="5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34" xfId="0" applyFont="1" applyBorder="1" applyAlignment="1" applyProtection="1">
      <alignment vertical="center"/>
      <protection locked="0"/>
    </xf>
    <xf numFmtId="0" fontId="24" fillId="0" borderId="1" xfId="0" applyFont="1" applyBorder="1" applyAlignment="1" applyProtection="1">
      <alignment vertical="center"/>
      <protection locked="0"/>
    </xf>
    <xf numFmtId="0" fontId="24" fillId="0" borderId="35" xfId="0" applyFont="1" applyBorder="1" applyAlignment="1" applyProtection="1">
      <alignment vertical="center"/>
      <protection locked="0"/>
    </xf>
    <xf numFmtId="0" fontId="24" fillId="0" borderId="34" xfId="0" quotePrefix="1" applyFont="1" applyBorder="1" applyAlignment="1" applyProtection="1">
      <alignment vertical="center"/>
      <protection locked="0"/>
    </xf>
    <xf numFmtId="0" fontId="24" fillId="0" borderId="1" xfId="0" quotePrefix="1" applyFont="1" applyBorder="1" applyAlignment="1" applyProtection="1">
      <alignment vertical="center"/>
      <protection locked="0"/>
    </xf>
    <xf numFmtId="0" fontId="24" fillId="0" borderId="35" xfId="0" quotePrefix="1" applyFont="1" applyBorder="1" applyAlignment="1" applyProtection="1">
      <alignment vertical="center"/>
      <protection locked="0"/>
    </xf>
    <xf numFmtId="0" fontId="24" fillId="0" borderId="39" xfId="0" applyFont="1" applyBorder="1" applyAlignment="1" applyProtection="1">
      <alignment vertical="center"/>
      <protection locked="0"/>
    </xf>
    <xf numFmtId="0" fontId="24" fillId="0" borderId="11" xfId="0" applyFont="1" applyBorder="1" applyAlignment="1" applyProtection="1">
      <alignment vertical="center"/>
      <protection locked="0"/>
    </xf>
    <xf numFmtId="0" fontId="24" fillId="0" borderId="30" xfId="0" applyFont="1" applyBorder="1" applyAlignment="1" applyProtection="1">
      <alignment vertical="center"/>
      <protection locked="0"/>
    </xf>
    <xf numFmtId="0" fontId="54" fillId="0" borderId="32" xfId="0" applyFont="1" applyBorder="1" applyAlignment="1" applyProtection="1">
      <alignment horizontal="left" vertical="center"/>
      <protection locked="0"/>
    </xf>
    <xf numFmtId="0" fontId="54" fillId="0" borderId="32" xfId="0" applyFont="1" applyBorder="1" applyAlignment="1" applyProtection="1">
      <alignment horizontal="center" vertical="center"/>
      <protection locked="0"/>
    </xf>
    <xf numFmtId="0" fontId="54" fillId="0" borderId="32" xfId="0" applyFont="1" applyBorder="1" applyAlignment="1" applyProtection="1">
      <alignment vertical="center"/>
      <protection locked="0"/>
    </xf>
    <xf numFmtId="0" fontId="54" fillId="0" borderId="32" xfId="0" applyFont="1" applyBorder="1" applyProtection="1">
      <protection locked="0"/>
    </xf>
    <xf numFmtId="0" fontId="55" fillId="0" borderId="0" xfId="0" applyFont="1"/>
    <xf numFmtId="164" fontId="7" fillId="3" borderId="59" xfId="1" applyNumberFormat="1" applyFont="1" applyFill="1" applyBorder="1" applyAlignment="1">
      <alignment horizontal="center" vertical="center"/>
    </xf>
    <xf numFmtId="0" fontId="55" fillId="0" borderId="0" xfId="0" applyFont="1" applyAlignment="1" applyProtection="1">
      <alignment horizontal="center" vertical="center"/>
      <protection locked="0"/>
    </xf>
    <xf numFmtId="0" fontId="55" fillId="0" borderId="32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51" xfId="0" applyFont="1" applyBorder="1"/>
    <xf numFmtId="0" fontId="11" fillId="0" borderId="58" xfId="0" applyFont="1" applyBorder="1" applyAlignment="1">
      <alignment horizontal="centerContinuous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54" fillId="0" borderId="51" xfId="0" applyFont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18" fillId="0" borderId="51" xfId="0" applyFont="1" applyBorder="1" applyAlignment="1">
      <alignment horizontal="left" vertical="center"/>
    </xf>
    <xf numFmtId="0" fontId="54" fillId="0" borderId="51" xfId="0" applyFont="1" applyBorder="1" applyAlignment="1">
      <alignment vertical="center"/>
    </xf>
    <xf numFmtId="0" fontId="16" fillId="0" borderId="32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56" fillId="0" borderId="57" xfId="0" applyFont="1" applyBorder="1" applyAlignment="1">
      <alignment horizontal="left" vertical="center"/>
    </xf>
    <xf numFmtId="0" fontId="55" fillId="0" borderId="2" xfId="0" applyFont="1" applyBorder="1" applyAlignment="1">
      <alignment horizontal="left" vertical="center"/>
    </xf>
    <xf numFmtId="0" fontId="16" fillId="0" borderId="57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64" fontId="16" fillId="0" borderId="32" xfId="0" applyNumberFormat="1" applyFont="1" applyBorder="1" applyAlignment="1">
      <alignment horizontal="center" vertical="center"/>
    </xf>
    <xf numFmtId="0" fontId="57" fillId="0" borderId="2" xfId="0" applyFont="1" applyBorder="1" applyAlignment="1">
      <alignment horizontal="left" vertical="center"/>
    </xf>
    <xf numFmtId="0" fontId="24" fillId="0" borderId="18" xfId="0" applyFont="1" applyBorder="1" applyAlignment="1" applyProtection="1">
      <alignment vertical="center"/>
      <protection locked="0"/>
    </xf>
    <xf numFmtId="0" fontId="24" fillId="0" borderId="19" xfId="0" applyFont="1" applyBorder="1" applyAlignment="1" applyProtection="1">
      <alignment vertical="center"/>
      <protection locked="0"/>
    </xf>
    <xf numFmtId="0" fontId="24" fillId="0" borderId="20" xfId="0" applyFont="1" applyBorder="1" applyAlignment="1" applyProtection="1">
      <alignment vertical="center"/>
      <protection locked="0"/>
    </xf>
    <xf numFmtId="0" fontId="54" fillId="0" borderId="51" xfId="0" applyFont="1" applyBorder="1" applyAlignment="1">
      <alignment horizontal="left" vertical="center"/>
    </xf>
    <xf numFmtId="0" fontId="55" fillId="0" borderId="51" xfId="0" applyFont="1" applyBorder="1" applyAlignment="1">
      <alignment horizontal="left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vertical="center"/>
    </xf>
    <xf numFmtId="16" fontId="0" fillId="0" borderId="32" xfId="0" quotePrefix="1" applyNumberFormat="1" applyBorder="1" applyAlignment="1">
      <alignment horizontal="center" vertical="center"/>
    </xf>
    <xf numFmtId="2" fontId="10" fillId="0" borderId="13" xfId="1" applyNumberFormat="1" applyFont="1" applyBorder="1" applyAlignment="1">
      <alignment horizontal="center" vertical="center"/>
    </xf>
    <xf numFmtId="2" fontId="10" fillId="0" borderId="10" xfId="1" applyNumberFormat="1" applyFont="1" applyBorder="1" applyAlignment="1">
      <alignment horizontal="center" vertical="center"/>
    </xf>
    <xf numFmtId="2" fontId="10" fillId="0" borderId="14" xfId="1" applyNumberFormat="1" applyFont="1" applyBorder="1" applyAlignment="1">
      <alignment horizontal="center" vertical="center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34" xfId="0" applyFont="1" applyBorder="1" applyAlignment="1" applyProtection="1">
      <alignment horizontal="left" vertical="center"/>
      <protection locked="0"/>
    </xf>
    <xf numFmtId="0" fontId="6" fillId="0" borderId="34" xfId="0" applyFont="1" applyBorder="1" applyAlignment="1" applyProtection="1">
      <alignment vertical="center"/>
      <protection locked="0"/>
    </xf>
    <xf numFmtId="0" fontId="9" fillId="6" borderId="23" xfId="1" applyFont="1" applyFill="1" applyBorder="1" applyAlignment="1">
      <alignment horizontal="center" vertical="center"/>
    </xf>
    <xf numFmtId="0" fontId="9" fillId="6" borderId="24" xfId="1" applyFont="1" applyFill="1" applyBorder="1" applyAlignment="1">
      <alignment horizontal="center" vertical="center"/>
    </xf>
    <xf numFmtId="0" fontId="9" fillId="6" borderId="25" xfId="1" applyFont="1" applyFill="1" applyBorder="1" applyAlignment="1">
      <alignment horizontal="center" vertical="center"/>
    </xf>
    <xf numFmtId="0" fontId="48" fillId="6" borderId="25" xfId="1" applyFont="1" applyFill="1" applyBorder="1" applyAlignment="1">
      <alignment horizontal="center" vertical="center"/>
    </xf>
    <xf numFmtId="0" fontId="27" fillId="6" borderId="25" xfId="1" applyFont="1" applyFill="1" applyBorder="1" applyAlignment="1">
      <alignment horizontal="center" vertical="center"/>
    </xf>
    <xf numFmtId="0" fontId="26" fillId="6" borderId="25" xfId="1" applyFont="1" applyFill="1" applyBorder="1" applyAlignment="1">
      <alignment horizontal="center" vertical="center"/>
    </xf>
    <xf numFmtId="2" fontId="10" fillId="6" borderId="26" xfId="1" applyNumberFormat="1" applyFont="1" applyFill="1" applyBorder="1" applyAlignment="1">
      <alignment horizontal="center" vertical="center"/>
    </xf>
    <xf numFmtId="0" fontId="27" fillId="6" borderId="24" xfId="1" applyFont="1" applyFill="1" applyBorder="1" applyAlignment="1">
      <alignment horizontal="center" vertical="center"/>
    </xf>
    <xf numFmtId="0" fontId="26" fillId="6" borderId="24" xfId="1" applyFont="1" applyFill="1" applyBorder="1" applyAlignment="1">
      <alignment horizontal="center" vertical="center"/>
    </xf>
    <xf numFmtId="0" fontId="10" fillId="6" borderId="24" xfId="165" applyNumberFormat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0" fontId="27" fillId="7" borderId="24" xfId="1" applyFont="1" applyFill="1" applyBorder="1" applyAlignment="1">
      <alignment horizontal="center" vertical="center"/>
    </xf>
    <xf numFmtId="0" fontId="26" fillId="7" borderId="24" xfId="1" applyFont="1" applyFill="1" applyBorder="1" applyAlignment="1">
      <alignment horizontal="center" vertical="center"/>
    </xf>
    <xf numFmtId="2" fontId="10" fillId="7" borderId="24" xfId="1" applyNumberFormat="1" applyFont="1" applyFill="1" applyBorder="1" applyAlignment="1">
      <alignment horizontal="center" vertical="center"/>
    </xf>
    <xf numFmtId="0" fontId="7" fillId="7" borderId="23" xfId="1" applyFont="1" applyFill="1" applyBorder="1" applyAlignment="1" applyProtection="1">
      <alignment horizontal="center" vertical="center"/>
      <protection locked="0"/>
    </xf>
    <xf numFmtId="0" fontId="7" fillId="7" borderId="24" xfId="1" applyFont="1" applyFill="1" applyBorder="1" applyAlignment="1" applyProtection="1">
      <alignment horizontal="center" vertical="center"/>
      <protection locked="0"/>
    </xf>
    <xf numFmtId="0" fontId="7" fillId="7" borderId="25" xfId="1" applyFont="1" applyFill="1" applyBorder="1" applyAlignment="1" applyProtection="1">
      <alignment horizontal="center" vertical="center"/>
      <protection locked="0"/>
    </xf>
    <xf numFmtId="0" fontId="48" fillId="7" borderId="25" xfId="1" applyFont="1" applyFill="1" applyBorder="1" applyAlignment="1">
      <alignment horizontal="center" vertical="center"/>
    </xf>
    <xf numFmtId="0" fontId="27" fillId="7" borderId="25" xfId="1" applyFont="1" applyFill="1" applyBorder="1" applyAlignment="1">
      <alignment horizontal="center" vertical="center"/>
    </xf>
    <xf numFmtId="0" fontId="26" fillId="7" borderId="25" xfId="1" applyFont="1" applyFill="1" applyBorder="1" applyAlignment="1">
      <alignment horizontal="center" vertical="center"/>
    </xf>
    <xf numFmtId="2" fontId="10" fillId="7" borderId="26" xfId="1" applyNumberFormat="1" applyFont="1" applyFill="1" applyBorder="1" applyAlignment="1">
      <alignment horizontal="center" vertical="center"/>
    </xf>
    <xf numFmtId="0" fontId="9" fillId="6" borderId="23" xfId="1" applyFont="1" applyFill="1" applyBorder="1" applyAlignment="1" applyProtection="1">
      <alignment horizontal="center" vertical="center"/>
      <protection locked="0"/>
    </xf>
    <xf numFmtId="1" fontId="27" fillId="6" borderId="25" xfId="165" applyNumberFormat="1" applyFont="1" applyFill="1" applyBorder="1" applyAlignment="1" applyProtection="1">
      <alignment horizontal="center" vertical="center"/>
    </xf>
    <xf numFmtId="164" fontId="26" fillId="6" borderId="25" xfId="1" applyNumberFormat="1" applyFont="1" applyFill="1" applyBorder="1" applyAlignment="1">
      <alignment horizontal="center" vertical="center"/>
    </xf>
    <xf numFmtId="1" fontId="27" fillId="7" borderId="24" xfId="1" applyNumberFormat="1" applyFont="1" applyFill="1" applyBorder="1" applyAlignment="1">
      <alignment horizontal="center" vertical="center"/>
    </xf>
    <xf numFmtId="2" fontId="10" fillId="7" borderId="4" xfId="1" applyNumberFormat="1" applyFont="1" applyFill="1" applyBorder="1" applyAlignment="1">
      <alignment horizontal="center" vertical="center"/>
    </xf>
    <xf numFmtId="0" fontId="9" fillId="6" borderId="38" xfId="1" applyFont="1" applyFill="1" applyBorder="1" applyAlignment="1" applyProtection="1">
      <alignment horizontal="center" vertical="center"/>
      <protection locked="0"/>
    </xf>
    <xf numFmtId="0" fontId="7" fillId="7" borderId="9" xfId="1" applyFont="1" applyFill="1" applyBorder="1" applyAlignment="1" applyProtection="1">
      <alignment horizontal="center" vertical="center"/>
      <protection locked="0"/>
    </xf>
    <xf numFmtId="0" fontId="7" fillId="7" borderId="6" xfId="1" applyFont="1" applyFill="1" applyBorder="1" applyAlignment="1" applyProtection="1">
      <alignment horizontal="center" vertical="center"/>
      <protection locked="0"/>
    </xf>
    <xf numFmtId="0" fontId="7" fillId="7" borderId="7" xfId="1" applyFont="1" applyFill="1" applyBorder="1" applyAlignment="1" applyProtection="1">
      <alignment horizontal="center" vertical="center"/>
      <protection locked="0"/>
    </xf>
    <xf numFmtId="0" fontId="9" fillId="6" borderId="42" xfId="1" applyFont="1" applyFill="1" applyBorder="1" applyAlignment="1" applyProtection="1">
      <alignment horizontal="center" vertical="center"/>
      <protection locked="0"/>
    </xf>
    <xf numFmtId="0" fontId="7" fillId="7" borderId="31" xfId="1" applyFont="1" applyFill="1" applyBorder="1" applyAlignment="1" applyProtection="1">
      <alignment horizontal="center" vertical="center"/>
      <protection locked="0"/>
    </xf>
    <xf numFmtId="0" fontId="7" fillId="7" borderId="2" xfId="1" applyFont="1" applyFill="1" applyBorder="1" applyAlignment="1" applyProtection="1">
      <alignment horizontal="center" vertical="center"/>
      <protection locked="0"/>
    </xf>
    <xf numFmtId="0" fontId="7" fillId="7" borderId="32" xfId="1" applyFont="1" applyFill="1" applyBorder="1" applyAlignment="1" applyProtection="1">
      <alignment horizontal="center" vertical="center"/>
      <protection locked="0"/>
    </xf>
    <xf numFmtId="0" fontId="48" fillId="7" borderId="32" xfId="1" applyFont="1" applyFill="1" applyBorder="1" applyAlignment="1">
      <alignment horizontal="center" vertical="center"/>
    </xf>
    <xf numFmtId="0" fontId="27" fillId="7" borderId="32" xfId="1" applyFont="1" applyFill="1" applyBorder="1" applyAlignment="1">
      <alignment horizontal="center" vertical="center"/>
    </xf>
    <xf numFmtId="0" fontId="26" fillId="7" borderId="32" xfId="1" applyFont="1" applyFill="1" applyBorder="1" applyAlignment="1">
      <alignment horizontal="center" vertical="center"/>
    </xf>
    <xf numFmtId="2" fontId="10" fillId="7" borderId="33" xfId="1" applyNumberFormat="1" applyFont="1" applyFill="1" applyBorder="1" applyAlignment="1">
      <alignment horizontal="center" vertical="center"/>
    </xf>
    <xf numFmtId="0" fontId="9" fillId="6" borderId="31" xfId="1" applyFont="1" applyFill="1" applyBorder="1" applyAlignment="1" applyProtection="1">
      <alignment horizontal="center" vertical="center"/>
      <protection locked="0"/>
    </xf>
    <xf numFmtId="1" fontId="27" fillId="6" borderId="32" xfId="165" applyNumberFormat="1" applyFont="1" applyFill="1" applyBorder="1" applyAlignment="1" applyProtection="1">
      <alignment horizontal="center" vertical="center"/>
    </xf>
    <xf numFmtId="164" fontId="26" fillId="6" borderId="32" xfId="1" applyNumberFormat="1" applyFont="1" applyFill="1" applyBorder="1" applyAlignment="1">
      <alignment horizontal="center" vertical="center"/>
    </xf>
    <xf numFmtId="2" fontId="10" fillId="6" borderId="33" xfId="1" applyNumberFormat="1" applyFont="1" applyFill="1" applyBorder="1" applyAlignment="1">
      <alignment horizontal="center" vertical="center"/>
    </xf>
    <xf numFmtId="1" fontId="27" fillId="7" borderId="32" xfId="1" applyNumberFormat="1" applyFont="1" applyFill="1" applyBorder="1" applyAlignment="1">
      <alignment horizontal="center" vertical="center"/>
    </xf>
    <xf numFmtId="2" fontId="10" fillId="7" borderId="35" xfId="1" applyNumberFormat="1" applyFont="1" applyFill="1" applyBorder="1" applyAlignment="1">
      <alignment horizontal="center" vertical="center"/>
    </xf>
    <xf numFmtId="0" fontId="7" fillId="7" borderId="17" xfId="1" applyFont="1" applyFill="1" applyBorder="1" applyAlignment="1" applyProtection="1">
      <alignment horizontal="center" vertical="center"/>
      <protection locked="0"/>
    </xf>
    <xf numFmtId="0" fontId="7" fillId="7" borderId="15" xfId="1" applyFont="1" applyFill="1" applyBorder="1" applyAlignment="1" applyProtection="1">
      <alignment horizontal="center" vertical="center"/>
      <protection locked="0"/>
    </xf>
    <xf numFmtId="0" fontId="7" fillId="7" borderId="16" xfId="1" applyFont="1" applyFill="1" applyBorder="1" applyAlignment="1" applyProtection="1">
      <alignment horizontal="center" vertical="center"/>
      <protection locked="0"/>
    </xf>
    <xf numFmtId="0" fontId="9" fillId="6" borderId="17" xfId="1" applyFont="1" applyFill="1" applyBorder="1" applyAlignment="1" applyProtection="1">
      <alignment horizontal="center" vertical="center"/>
      <protection locked="0"/>
    </xf>
    <xf numFmtId="0" fontId="10" fillId="6" borderId="24" xfId="1" applyFont="1" applyFill="1" applyBorder="1" applyAlignment="1">
      <alignment horizontal="center" vertical="center"/>
    </xf>
    <xf numFmtId="2" fontId="10" fillId="6" borderId="24" xfId="1" applyNumberFormat="1" applyFont="1" applyFill="1" applyBorder="1" applyAlignment="1">
      <alignment horizontal="center" vertical="center"/>
    </xf>
    <xf numFmtId="2" fontId="10" fillId="6" borderId="47" xfId="1" applyNumberFormat="1" applyFont="1" applyFill="1" applyBorder="1" applyAlignment="1">
      <alignment horizontal="center" vertical="center"/>
    </xf>
    <xf numFmtId="0" fontId="48" fillId="7" borderId="7" xfId="1" applyFont="1" applyFill="1" applyBorder="1" applyAlignment="1">
      <alignment horizontal="center" vertical="center"/>
    </xf>
    <xf numFmtId="0" fontId="27" fillId="7" borderId="7" xfId="1" applyFont="1" applyFill="1" applyBorder="1" applyAlignment="1">
      <alignment horizontal="center" vertical="center"/>
    </xf>
    <xf numFmtId="2" fontId="10" fillId="7" borderId="8" xfId="1" applyNumberFormat="1" applyFont="1" applyFill="1" applyBorder="1" applyAlignment="1">
      <alignment horizontal="center" vertical="center"/>
    </xf>
    <xf numFmtId="0" fontId="9" fillId="6" borderId="9" xfId="1" applyFont="1" applyFill="1" applyBorder="1" applyAlignment="1" applyProtection="1">
      <alignment horizontal="center" vertical="center"/>
      <protection locked="0"/>
    </xf>
    <xf numFmtId="1" fontId="27" fillId="6" borderId="7" xfId="165" applyNumberFormat="1" applyFont="1" applyFill="1" applyBorder="1" applyAlignment="1" applyProtection="1">
      <alignment horizontal="center" vertical="center"/>
    </xf>
    <xf numFmtId="2" fontId="10" fillId="6" borderId="8" xfId="1" applyNumberFormat="1" applyFont="1" applyFill="1" applyBorder="1" applyAlignment="1">
      <alignment horizontal="center" vertical="center"/>
    </xf>
    <xf numFmtId="1" fontId="27" fillId="7" borderId="7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" xfId="1" applyNumberFormat="1" applyFont="1" applyFill="1" applyBorder="1" applyAlignment="1">
      <alignment horizontal="center" vertical="center"/>
    </xf>
    <xf numFmtId="0" fontId="48" fillId="7" borderId="16" xfId="1" applyFont="1" applyFill="1" applyBorder="1" applyAlignment="1">
      <alignment horizontal="center" vertical="center"/>
    </xf>
    <xf numFmtId="0" fontId="27" fillId="7" borderId="16" xfId="1" applyFont="1" applyFill="1" applyBorder="1" applyAlignment="1">
      <alignment horizontal="center" vertical="center"/>
    </xf>
    <xf numFmtId="2" fontId="10" fillId="7" borderId="43" xfId="1" applyNumberFormat="1" applyFont="1" applyFill="1" applyBorder="1" applyAlignment="1">
      <alignment horizontal="center" vertical="center"/>
    </xf>
    <xf numFmtId="1" fontId="27" fillId="6" borderId="16" xfId="165" applyNumberFormat="1" applyFont="1" applyFill="1" applyBorder="1" applyAlignment="1" applyProtection="1">
      <alignment horizontal="center" vertical="center"/>
    </xf>
    <xf numFmtId="2" fontId="10" fillId="6" borderId="43" xfId="1" applyNumberFormat="1" applyFont="1" applyFill="1" applyBorder="1" applyAlignment="1">
      <alignment horizontal="center" vertical="center"/>
    </xf>
    <xf numFmtId="1" fontId="27" fillId="7" borderId="16" xfId="1" applyNumberFormat="1" applyFont="1" applyFill="1" applyBorder="1" applyAlignment="1">
      <alignment horizontal="center" vertical="center"/>
    </xf>
    <xf numFmtId="2" fontId="10" fillId="7" borderId="44" xfId="1" applyNumberFormat="1" applyFont="1" applyFill="1" applyBorder="1" applyAlignment="1">
      <alignment horizontal="center" vertical="center"/>
    </xf>
    <xf numFmtId="0" fontId="6" fillId="0" borderId="18" xfId="0" applyFont="1" applyBorder="1" applyAlignment="1" applyProtection="1">
      <alignment vertical="center"/>
      <protection locked="0"/>
    </xf>
    <xf numFmtId="164" fontId="54" fillId="0" borderId="51" xfId="0" applyNumberFormat="1" applyFont="1" applyBorder="1" applyAlignment="1">
      <alignment horizontal="left" vertical="center"/>
    </xf>
    <xf numFmtId="0" fontId="15" fillId="0" borderId="0" xfId="0" applyFont="1"/>
    <xf numFmtId="0" fontId="20" fillId="4" borderId="28" xfId="1" applyFont="1" applyFill="1" applyBorder="1" applyAlignment="1">
      <alignment horizontal="center" vertical="center"/>
    </xf>
    <xf numFmtId="0" fontId="20" fillId="4" borderId="37" xfId="1" applyFont="1" applyFill="1" applyBorder="1" applyAlignment="1">
      <alignment horizontal="center" vertical="center"/>
    </xf>
    <xf numFmtId="0" fontId="20" fillId="4" borderId="29" xfId="1" applyFont="1" applyFill="1" applyBorder="1" applyAlignment="1">
      <alignment horizontal="center" vertical="center"/>
    </xf>
    <xf numFmtId="0" fontId="17" fillId="5" borderId="3" xfId="1" applyFont="1" applyFill="1" applyBorder="1" applyAlignment="1">
      <alignment horizontal="center" vertical="center"/>
    </xf>
    <xf numFmtId="0" fontId="17" fillId="5" borderId="4" xfId="1" applyFont="1" applyFill="1" applyBorder="1" applyAlignment="1">
      <alignment horizontal="center" vertical="center"/>
    </xf>
    <xf numFmtId="0" fontId="17" fillId="5" borderId="5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7" fillId="5" borderId="0" xfId="1" applyFont="1" applyFill="1" applyAlignment="1">
      <alignment horizontal="center" vertical="center"/>
    </xf>
    <xf numFmtId="0" fontId="17" fillId="5" borderId="14" xfId="1" applyFont="1" applyFill="1" applyBorder="1" applyAlignment="1">
      <alignment horizontal="center" vertical="center"/>
    </xf>
    <xf numFmtId="0" fontId="28" fillId="5" borderId="6" xfId="1" applyFont="1" applyFill="1" applyBorder="1" applyAlignment="1">
      <alignment horizontal="center" vertical="center" wrapText="1"/>
    </xf>
    <xf numFmtId="0" fontId="28" fillId="5" borderId="7" xfId="1" applyFont="1" applyFill="1" applyBorder="1" applyAlignment="1">
      <alignment horizontal="center" vertical="center" wrapText="1"/>
    </xf>
    <xf numFmtId="0" fontId="28" fillId="5" borderId="15" xfId="1" applyFont="1" applyFill="1" applyBorder="1" applyAlignment="1">
      <alignment horizontal="center" vertical="center" wrapText="1"/>
    </xf>
    <xf numFmtId="0" fontId="28" fillId="5" borderId="16" xfId="1" applyFont="1" applyFill="1" applyBorder="1" applyAlignment="1">
      <alignment horizontal="center" vertical="center" wrapText="1"/>
    </xf>
    <xf numFmtId="0" fontId="28" fillId="5" borderId="9" xfId="1" applyFont="1" applyFill="1" applyBorder="1" applyAlignment="1">
      <alignment horizontal="center" vertical="center" wrapText="1"/>
    </xf>
    <xf numFmtId="0" fontId="28" fillId="5" borderId="17" xfId="1" applyFont="1" applyFill="1" applyBorder="1" applyAlignment="1">
      <alignment horizontal="center" vertical="center" wrapText="1"/>
    </xf>
    <xf numFmtId="0" fontId="16" fillId="5" borderId="12" xfId="1" applyFont="1" applyFill="1" applyBorder="1" applyAlignment="1">
      <alignment horizontal="center" vertical="center" wrapText="1"/>
    </xf>
    <xf numFmtId="0" fontId="16" fillId="5" borderId="22" xfId="1" applyFont="1" applyFill="1" applyBorder="1" applyAlignment="1">
      <alignment horizontal="center" vertical="center" wrapText="1"/>
    </xf>
    <xf numFmtId="0" fontId="16" fillId="5" borderId="36" xfId="1" applyFont="1" applyFill="1" applyBorder="1" applyAlignment="1">
      <alignment horizontal="center" vertical="center" wrapText="1"/>
    </xf>
    <xf numFmtId="0" fontId="28" fillId="5" borderId="3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horizontal="center" vertical="center"/>
    </xf>
    <xf numFmtId="0" fontId="28" fillId="5" borderId="5" xfId="1" applyFont="1" applyFill="1" applyBorder="1" applyAlignment="1">
      <alignment horizontal="center" vertical="center"/>
    </xf>
    <xf numFmtId="0" fontId="28" fillId="5" borderId="18" xfId="1" applyFont="1" applyFill="1" applyBorder="1" applyAlignment="1">
      <alignment horizontal="center" vertical="center"/>
    </xf>
    <xf numFmtId="0" fontId="28" fillId="5" borderId="19" xfId="1" applyFont="1" applyFill="1" applyBorder="1" applyAlignment="1">
      <alignment horizontal="center" vertical="center"/>
    </xf>
    <xf numFmtId="0" fontId="28" fillId="5" borderId="20" xfId="1" applyFont="1" applyFill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21" fillId="0" borderId="28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12" fontId="8" fillId="5" borderId="12" xfId="1" quotePrefix="1" applyNumberFormat="1" applyFont="1" applyFill="1" applyBorder="1" applyAlignment="1">
      <alignment horizontal="center" vertical="center"/>
    </xf>
    <xf numFmtId="12" fontId="8" fillId="5" borderId="22" xfId="1" applyNumberFormat="1" applyFont="1" applyFill="1" applyBorder="1" applyAlignment="1">
      <alignment horizontal="center" vertical="center"/>
    </xf>
    <xf numFmtId="12" fontId="8" fillId="5" borderId="36" xfId="1" applyNumberFormat="1" applyFont="1" applyFill="1" applyBorder="1" applyAlignment="1">
      <alignment horizontal="center" vertical="center"/>
    </xf>
    <xf numFmtId="0" fontId="7" fillId="5" borderId="12" xfId="1" applyFont="1" applyFill="1" applyBorder="1" applyAlignment="1">
      <alignment horizontal="center" vertical="center" wrapText="1"/>
    </xf>
    <xf numFmtId="0" fontId="7" fillId="5" borderId="22" xfId="1" applyFont="1" applyFill="1" applyBorder="1" applyAlignment="1">
      <alignment horizontal="center" vertical="center" wrapText="1"/>
    </xf>
    <xf numFmtId="0" fontId="7" fillId="5" borderId="36" xfId="1" applyFont="1" applyFill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7" fillId="0" borderId="51" xfId="0" applyFont="1" applyBorder="1" applyAlignment="1" applyProtection="1">
      <alignment horizontal="center"/>
      <protection locked="0"/>
    </xf>
    <xf numFmtId="0" fontId="11" fillId="0" borderId="58" xfId="0" applyFont="1" applyBorder="1" applyAlignment="1" applyProtection="1">
      <alignment horizontal="center"/>
      <protection locked="0"/>
    </xf>
    <xf numFmtId="0" fontId="52" fillId="0" borderId="0" xfId="0" applyFont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164" fontId="24" fillId="0" borderId="32" xfId="0" applyNumberFormat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</cellXfs>
  <cellStyles count="166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Normal" xfId="0" builtinId="0"/>
    <cellStyle name="Normal 2" xfId="1" xr:uid="{00000000-0005-0000-0000-0000A3000000}"/>
    <cellStyle name="Percent" xfId="165" builtinId="5"/>
    <cellStyle name="Percent 2" xfId="2" xr:uid="{00000000-0005-0000-0000-0000A4000000}"/>
  </cellStyles>
  <dxfs count="8">
    <dxf>
      <font>
        <color rgb="FF9C0006"/>
      </font>
    </dxf>
    <dxf>
      <font>
        <color rgb="FF9C0006"/>
      </font>
    </dxf>
    <dxf>
      <font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F5E5EA"/>
      <color rgb="FFFCDB7D"/>
      <color rgb="FFFDB9B8"/>
      <color rgb="FFFFA8A6"/>
      <color rgb="FFF7F065"/>
      <color rgb="FFE3D3FC"/>
      <color rgb="FF8AFFE6"/>
      <color rgb="FFFFA8EB"/>
      <color rgb="FFFFB5F8"/>
      <color rgb="FF00B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130175</xdr:colOff>
      <xdr:row>1</xdr:row>
      <xdr:rowOff>50799</xdr:rowOff>
    </xdr:from>
    <xdr:to>
      <xdr:col>24</xdr:col>
      <xdr:colOff>290471</xdr:colOff>
      <xdr:row>3</xdr:row>
      <xdr:rowOff>163575</xdr:rowOff>
    </xdr:to>
    <xdr:pic>
      <xdr:nvPicPr>
        <xdr:cNvPr id="4" name="Picture 3" descr="Related image">
          <a:extLst>
            <a:ext uri="{FF2B5EF4-FFF2-40B4-BE49-F238E27FC236}">
              <a16:creationId xmlns:a16="http://schemas.microsoft.com/office/drawing/2014/main" id="{8DD844B3-D4C6-6B2B-A63C-B0F75CF97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8075" y="139699"/>
          <a:ext cx="769896" cy="72237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1371600</xdr:colOff>
      <xdr:row>1</xdr:row>
      <xdr:rowOff>38100</xdr:rowOff>
    </xdr:from>
    <xdr:to>
      <xdr:col>6</xdr:col>
      <xdr:colOff>226060</xdr:colOff>
      <xdr:row>3</xdr:row>
      <xdr:rowOff>177800</xdr:rowOff>
    </xdr:to>
    <xdr:pic>
      <xdr:nvPicPr>
        <xdr:cNvPr id="5" name="Picture 4" descr="CCA2AEE2">
          <a:extLst>
            <a:ext uri="{FF2B5EF4-FFF2-40B4-BE49-F238E27FC236}">
              <a16:creationId xmlns:a16="http://schemas.microsoft.com/office/drawing/2014/main" id="{B28ACA5D-BF0F-C614-8D44-EC0BAD3E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3400" y="127000"/>
          <a:ext cx="822960" cy="7493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92075</xdr:colOff>
      <xdr:row>1</xdr:row>
      <xdr:rowOff>38099</xdr:rowOff>
    </xdr:from>
    <xdr:to>
      <xdr:col>27</xdr:col>
      <xdr:colOff>265071</xdr:colOff>
      <xdr:row>3</xdr:row>
      <xdr:rowOff>150875</xdr:rowOff>
    </xdr:to>
    <xdr:pic>
      <xdr:nvPicPr>
        <xdr:cNvPr id="4" name="Picture 3" descr="Related image">
          <a:extLst>
            <a:ext uri="{FF2B5EF4-FFF2-40B4-BE49-F238E27FC236}">
              <a16:creationId xmlns:a16="http://schemas.microsoft.com/office/drawing/2014/main" id="{20EA8F92-579D-0345-A22D-0FA29AFD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4275" y="126999"/>
          <a:ext cx="769896" cy="7223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50800</xdr:colOff>
      <xdr:row>1</xdr:row>
      <xdr:rowOff>25400</xdr:rowOff>
    </xdr:from>
    <xdr:to>
      <xdr:col>10</xdr:col>
      <xdr:colOff>187960</xdr:colOff>
      <xdr:row>3</xdr:row>
      <xdr:rowOff>165100</xdr:rowOff>
    </xdr:to>
    <xdr:pic>
      <xdr:nvPicPr>
        <xdr:cNvPr id="5" name="Picture 4" descr="CCA2AEE2">
          <a:extLst>
            <a:ext uri="{FF2B5EF4-FFF2-40B4-BE49-F238E27FC236}">
              <a16:creationId xmlns:a16="http://schemas.microsoft.com/office/drawing/2014/main" id="{AD0BBC89-9A3C-4A42-8AEC-1DBC5DB67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" y="114300"/>
          <a:ext cx="822960" cy="7493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53975</xdr:colOff>
      <xdr:row>1</xdr:row>
      <xdr:rowOff>50799</xdr:rowOff>
    </xdr:from>
    <xdr:to>
      <xdr:col>29</xdr:col>
      <xdr:colOff>176171</xdr:colOff>
      <xdr:row>3</xdr:row>
      <xdr:rowOff>163575</xdr:rowOff>
    </xdr:to>
    <xdr:pic>
      <xdr:nvPicPr>
        <xdr:cNvPr id="4" name="Picture 3" descr="Related image">
          <a:extLst>
            <a:ext uri="{FF2B5EF4-FFF2-40B4-BE49-F238E27FC236}">
              <a16:creationId xmlns:a16="http://schemas.microsoft.com/office/drawing/2014/main" id="{E2DF651F-25DB-1246-AF19-755096B6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2475" y="139699"/>
          <a:ext cx="769896" cy="722376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203200</xdr:colOff>
      <xdr:row>1</xdr:row>
      <xdr:rowOff>38100</xdr:rowOff>
    </xdr:from>
    <xdr:to>
      <xdr:col>13</xdr:col>
      <xdr:colOff>175260</xdr:colOff>
      <xdr:row>3</xdr:row>
      <xdr:rowOff>177800</xdr:rowOff>
    </xdr:to>
    <xdr:pic>
      <xdr:nvPicPr>
        <xdr:cNvPr id="5" name="Picture 4" descr="CCA2AEE2">
          <a:extLst>
            <a:ext uri="{FF2B5EF4-FFF2-40B4-BE49-F238E27FC236}">
              <a16:creationId xmlns:a16="http://schemas.microsoft.com/office/drawing/2014/main" id="{3C054F9A-CF5F-E74F-99B0-C93EF7EA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7900" y="127000"/>
          <a:ext cx="822960" cy="7493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1</xdr:row>
      <xdr:rowOff>139700</xdr:rowOff>
    </xdr:from>
    <xdr:to>
      <xdr:col>2</xdr:col>
      <xdr:colOff>164284</xdr:colOff>
      <xdr:row>6</xdr:row>
      <xdr:rowOff>165100</xdr:rowOff>
    </xdr:to>
    <xdr:pic>
      <xdr:nvPicPr>
        <xdr:cNvPr id="6" name="Picture 5" descr="CCA2AEE2">
          <a:extLst>
            <a:ext uri="{FF2B5EF4-FFF2-40B4-BE49-F238E27FC236}">
              <a16:creationId xmlns:a16="http://schemas.microsoft.com/office/drawing/2014/main" id="{22561B7A-2D67-5040-B9A1-3CCBECF9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342900"/>
          <a:ext cx="1002484" cy="9144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1</xdr:row>
      <xdr:rowOff>114300</xdr:rowOff>
    </xdr:from>
    <xdr:to>
      <xdr:col>6</xdr:col>
      <xdr:colOff>304001</xdr:colOff>
      <xdr:row>6</xdr:row>
      <xdr:rowOff>139700</xdr:rowOff>
    </xdr:to>
    <xdr:pic>
      <xdr:nvPicPr>
        <xdr:cNvPr id="5" name="Picture 4" descr="Related image">
          <a:extLst>
            <a:ext uri="{FF2B5EF4-FFF2-40B4-BE49-F238E27FC236}">
              <a16:creationId xmlns:a16="http://schemas.microsoft.com/office/drawing/2014/main" id="{F863184A-0B7F-144B-B02E-D43228C38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317500"/>
          <a:ext cx="964401" cy="9144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1</xdr:row>
      <xdr:rowOff>139700</xdr:rowOff>
    </xdr:from>
    <xdr:to>
      <xdr:col>2</xdr:col>
      <xdr:colOff>164284</xdr:colOff>
      <xdr:row>6</xdr:row>
      <xdr:rowOff>165100</xdr:rowOff>
    </xdr:to>
    <xdr:pic>
      <xdr:nvPicPr>
        <xdr:cNvPr id="2" name="Picture 1" descr="CCA2AEE2">
          <a:extLst>
            <a:ext uri="{FF2B5EF4-FFF2-40B4-BE49-F238E27FC236}">
              <a16:creationId xmlns:a16="http://schemas.microsoft.com/office/drawing/2014/main" id="{AF25C7CD-015F-9343-9753-FA371B3BB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342900"/>
          <a:ext cx="1002484" cy="9144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1</xdr:row>
      <xdr:rowOff>114300</xdr:rowOff>
    </xdr:from>
    <xdr:to>
      <xdr:col>6</xdr:col>
      <xdr:colOff>304001</xdr:colOff>
      <xdr:row>6</xdr:row>
      <xdr:rowOff>139700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DB6163F5-5057-0B43-83A8-9A89DF5E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317500"/>
          <a:ext cx="964401" cy="9144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1</xdr:row>
      <xdr:rowOff>139700</xdr:rowOff>
    </xdr:from>
    <xdr:to>
      <xdr:col>2</xdr:col>
      <xdr:colOff>164284</xdr:colOff>
      <xdr:row>6</xdr:row>
      <xdr:rowOff>165100</xdr:rowOff>
    </xdr:to>
    <xdr:pic>
      <xdr:nvPicPr>
        <xdr:cNvPr id="2" name="Picture 1" descr="CCA2AEE2">
          <a:extLst>
            <a:ext uri="{FF2B5EF4-FFF2-40B4-BE49-F238E27FC236}">
              <a16:creationId xmlns:a16="http://schemas.microsoft.com/office/drawing/2014/main" id="{AD150E95-C44D-F941-88DA-BDDAC9736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342900"/>
          <a:ext cx="1002484" cy="9144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304800</xdr:colOff>
      <xdr:row>1</xdr:row>
      <xdr:rowOff>114300</xdr:rowOff>
    </xdr:from>
    <xdr:to>
      <xdr:col>6</xdr:col>
      <xdr:colOff>304001</xdr:colOff>
      <xdr:row>6</xdr:row>
      <xdr:rowOff>139700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9726AC48-6EA7-C94E-9150-7207BB3F6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317500"/>
          <a:ext cx="964401" cy="914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70E1-190C-1C40-A3F7-3B09073A8BC2}">
  <sheetPr>
    <tabColor theme="9" tint="0.79998168889431442"/>
  </sheetPr>
  <dimension ref="A2:M62"/>
  <sheetViews>
    <sheetView tabSelected="1" zoomScaleNormal="100" workbookViewId="0">
      <selection activeCell="I10" sqref="I10"/>
    </sheetView>
  </sheetViews>
  <sheetFormatPr baseColWidth="10" defaultRowHeight="16" x14ac:dyDescent="0.2"/>
  <cols>
    <col min="1" max="1" width="4" style="66" customWidth="1"/>
    <col min="2" max="2" width="15.5" style="64" bestFit="1" customWidth="1"/>
    <col min="3" max="3" width="1.6640625" style="64" bestFit="1" customWidth="1"/>
    <col min="4" max="4" width="22" style="64" bestFit="1" customWidth="1"/>
    <col min="5" max="5" width="3" style="64" bestFit="1" customWidth="1"/>
    <col min="6" max="6" width="16.6640625" style="145" hidden="1" customWidth="1"/>
    <col min="7" max="7" width="16.6640625" style="147" hidden="1" customWidth="1"/>
    <col min="8" max="8" width="3.33203125" customWidth="1"/>
    <col min="9" max="9" width="31.6640625" customWidth="1"/>
    <col min="10" max="10" width="39.1640625" bestFit="1" customWidth="1"/>
  </cols>
  <sheetData>
    <row r="2" spans="1:13" x14ac:dyDescent="0.2">
      <c r="A2" s="65" t="s">
        <v>25</v>
      </c>
      <c r="B2" s="62" t="s">
        <v>26</v>
      </c>
      <c r="C2" s="62" t="s">
        <v>8</v>
      </c>
      <c r="D2" s="62" t="s">
        <v>9</v>
      </c>
      <c r="E2" s="62" t="s">
        <v>27</v>
      </c>
      <c r="G2" s="148" t="s">
        <v>83</v>
      </c>
      <c r="H2" s="41"/>
      <c r="I2" s="48"/>
      <c r="J2" s="49"/>
      <c r="K2" s="47"/>
      <c r="L2" s="47"/>
    </row>
    <row r="3" spans="1:13" x14ac:dyDescent="0.2">
      <c r="A3" s="63">
        <v>1</v>
      </c>
      <c r="B3" s="141" t="s">
        <v>80</v>
      </c>
      <c r="C3" s="142" t="s">
        <v>8</v>
      </c>
      <c r="D3" s="143" t="s">
        <v>81</v>
      </c>
      <c r="E3" s="143" t="s">
        <v>82</v>
      </c>
      <c r="F3" s="145" t="str">
        <f>CONCATENATE(B3, ", ", D3, " ", E3)</f>
        <v>BACALSO, HELEN S.</v>
      </c>
      <c r="G3" s="148" t="s">
        <v>84</v>
      </c>
      <c r="H3" s="41"/>
      <c r="I3" s="48"/>
      <c r="J3" s="50"/>
      <c r="K3" s="47"/>
      <c r="L3" s="47"/>
    </row>
    <row r="4" spans="1:13" x14ac:dyDescent="0.2">
      <c r="A4" s="63">
        <v>2</v>
      </c>
      <c r="B4" s="143"/>
      <c r="C4" s="142" t="s">
        <v>8</v>
      </c>
      <c r="D4" s="143"/>
      <c r="E4" s="143"/>
      <c r="F4" s="145" t="str">
        <f t="shared" ref="F4:F62" si="0">CONCATENATE(B4, ", ", D4, " ", E4)</f>
        <v xml:space="preserve">,  </v>
      </c>
      <c r="G4" s="148"/>
      <c r="H4" s="41"/>
      <c r="I4" s="51"/>
      <c r="J4" s="49"/>
      <c r="K4" s="47"/>
      <c r="L4" s="47"/>
    </row>
    <row r="5" spans="1:13" ht="17" thickBot="1" x14ac:dyDescent="0.25">
      <c r="A5" s="63">
        <v>3</v>
      </c>
      <c r="B5" s="143"/>
      <c r="C5" s="142" t="s">
        <v>8</v>
      </c>
      <c r="D5" s="143"/>
      <c r="E5" s="143"/>
      <c r="F5" s="145" t="str">
        <f t="shared" si="0"/>
        <v xml:space="preserve">,  </v>
      </c>
      <c r="G5" s="148"/>
      <c r="H5" s="41"/>
      <c r="I5" s="52"/>
      <c r="J5" s="49"/>
      <c r="K5" s="47"/>
      <c r="L5" s="47"/>
    </row>
    <row r="6" spans="1:13" x14ac:dyDescent="0.2">
      <c r="A6" s="63">
        <v>4</v>
      </c>
      <c r="B6" s="143"/>
      <c r="C6" s="142" t="s">
        <v>8</v>
      </c>
      <c r="D6" s="143"/>
      <c r="E6" s="143"/>
      <c r="F6" s="145" t="str">
        <f t="shared" si="0"/>
        <v xml:space="preserve">,  </v>
      </c>
      <c r="G6" s="148"/>
      <c r="H6" s="41"/>
      <c r="I6" s="180" t="s">
        <v>123</v>
      </c>
      <c r="J6" s="138" t="s">
        <v>121</v>
      </c>
      <c r="K6" s="139"/>
      <c r="L6" s="139"/>
      <c r="M6" s="140"/>
    </row>
    <row r="7" spans="1:13" x14ac:dyDescent="0.2">
      <c r="A7" s="63">
        <v>5</v>
      </c>
      <c r="B7" s="143"/>
      <c r="C7" s="142" t="s">
        <v>8</v>
      </c>
      <c r="D7" s="143"/>
      <c r="E7" s="143"/>
      <c r="F7" s="145" t="str">
        <f t="shared" si="0"/>
        <v xml:space="preserve">,  </v>
      </c>
      <c r="G7" s="148"/>
      <c r="H7" s="41"/>
      <c r="I7" s="181" t="s">
        <v>122</v>
      </c>
      <c r="J7" s="135" t="s">
        <v>141</v>
      </c>
      <c r="K7" s="136"/>
      <c r="L7" s="136"/>
      <c r="M7" s="137"/>
    </row>
    <row r="8" spans="1:13" x14ac:dyDescent="0.2">
      <c r="A8" s="63">
        <v>6</v>
      </c>
      <c r="B8" s="143"/>
      <c r="C8" s="142" t="s">
        <v>8</v>
      </c>
      <c r="D8" s="143"/>
      <c r="E8" s="143"/>
      <c r="F8" s="145" t="str">
        <f t="shared" si="0"/>
        <v xml:space="preserve">,  </v>
      </c>
      <c r="G8" s="148"/>
      <c r="H8" s="41"/>
      <c r="I8" s="181" t="s">
        <v>41</v>
      </c>
      <c r="J8" s="135" t="s">
        <v>142</v>
      </c>
      <c r="K8" s="136"/>
      <c r="L8" s="136"/>
      <c r="M8" s="137"/>
    </row>
    <row r="9" spans="1:13" x14ac:dyDescent="0.2">
      <c r="A9" s="63">
        <v>7</v>
      </c>
      <c r="B9" s="143"/>
      <c r="C9" s="142" t="s">
        <v>8</v>
      </c>
      <c r="D9" s="143"/>
      <c r="E9" s="143"/>
      <c r="F9" s="145" t="str">
        <f t="shared" si="0"/>
        <v xml:space="preserve">,  </v>
      </c>
      <c r="G9" s="148"/>
      <c r="H9" s="41"/>
      <c r="I9" s="182" t="s">
        <v>79</v>
      </c>
      <c r="J9" s="132" t="s">
        <v>144</v>
      </c>
      <c r="K9" s="133"/>
      <c r="L9" s="133"/>
      <c r="M9" s="134"/>
    </row>
    <row r="10" spans="1:13" x14ac:dyDescent="0.2">
      <c r="A10" s="63">
        <v>8</v>
      </c>
      <c r="B10" s="143"/>
      <c r="C10" s="142" t="s">
        <v>8</v>
      </c>
      <c r="D10" s="143"/>
      <c r="E10" s="143"/>
      <c r="F10" s="145" t="str">
        <f t="shared" si="0"/>
        <v xml:space="preserve">,  </v>
      </c>
      <c r="G10" s="148"/>
      <c r="H10" s="41"/>
      <c r="I10" s="182" t="s">
        <v>85</v>
      </c>
      <c r="J10" s="132" t="s">
        <v>145</v>
      </c>
      <c r="K10" s="133"/>
      <c r="L10" s="133"/>
      <c r="M10" s="134"/>
    </row>
    <row r="11" spans="1:13" x14ac:dyDescent="0.2">
      <c r="A11" s="63">
        <v>9</v>
      </c>
      <c r="B11" s="143"/>
      <c r="C11" s="142" t="s">
        <v>8</v>
      </c>
      <c r="D11" s="143"/>
      <c r="E11" s="143"/>
      <c r="F11" s="145" t="str">
        <f t="shared" si="0"/>
        <v xml:space="preserve">,  </v>
      </c>
      <c r="G11" s="148"/>
      <c r="H11" s="41"/>
      <c r="I11" s="182" t="s">
        <v>40</v>
      </c>
      <c r="J11" s="132" t="s">
        <v>147</v>
      </c>
      <c r="K11" s="133"/>
      <c r="L11" s="133"/>
      <c r="M11" s="134"/>
    </row>
    <row r="12" spans="1:13" ht="17" thickBot="1" x14ac:dyDescent="0.25">
      <c r="A12" s="63">
        <v>10</v>
      </c>
      <c r="B12" s="143"/>
      <c r="C12" s="142" t="s">
        <v>8</v>
      </c>
      <c r="D12" s="143"/>
      <c r="E12" s="143"/>
      <c r="F12" s="145" t="str">
        <f t="shared" si="0"/>
        <v xml:space="preserve">,  </v>
      </c>
      <c r="G12" s="148"/>
      <c r="H12" s="41"/>
      <c r="I12" s="250" t="s">
        <v>127</v>
      </c>
      <c r="J12" s="166" t="s">
        <v>146</v>
      </c>
      <c r="K12" s="167"/>
      <c r="L12" s="167"/>
      <c r="M12" s="168"/>
    </row>
    <row r="13" spans="1:13" x14ac:dyDescent="0.2">
      <c r="A13" s="63">
        <v>11</v>
      </c>
      <c r="B13" s="143"/>
      <c r="C13" s="142" t="s">
        <v>8</v>
      </c>
      <c r="D13" s="143"/>
      <c r="E13" s="143"/>
      <c r="F13" s="145" t="str">
        <f t="shared" si="0"/>
        <v xml:space="preserve">,  </v>
      </c>
      <c r="G13" s="148"/>
    </row>
    <row r="14" spans="1:13" x14ac:dyDescent="0.2">
      <c r="A14" s="63">
        <v>12</v>
      </c>
      <c r="B14" s="143"/>
      <c r="C14" s="142" t="s">
        <v>8</v>
      </c>
      <c r="D14" s="143"/>
      <c r="E14" s="143"/>
      <c r="F14" s="145" t="str">
        <f t="shared" si="0"/>
        <v xml:space="preserve">,  </v>
      </c>
      <c r="G14" s="148"/>
    </row>
    <row r="15" spans="1:13" x14ac:dyDescent="0.2">
      <c r="A15" s="63">
        <v>13</v>
      </c>
      <c r="B15" s="143"/>
      <c r="C15" s="142" t="s">
        <v>8</v>
      </c>
      <c r="D15" s="143"/>
      <c r="E15" s="143"/>
      <c r="F15" s="145" t="str">
        <f t="shared" si="0"/>
        <v xml:space="preserve">,  </v>
      </c>
      <c r="G15" s="148"/>
      <c r="H15" s="40"/>
      <c r="I15" s="40" t="s">
        <v>28</v>
      </c>
      <c r="J15" s="40"/>
    </row>
    <row r="16" spans="1:13" x14ac:dyDescent="0.2">
      <c r="A16" s="63">
        <v>14</v>
      </c>
      <c r="B16" s="143"/>
      <c r="C16" s="142" t="s">
        <v>8</v>
      </c>
      <c r="D16" s="143"/>
      <c r="E16" s="143"/>
      <c r="F16" s="145" t="str">
        <f t="shared" si="0"/>
        <v xml:space="preserve">,  </v>
      </c>
      <c r="G16" s="148"/>
      <c r="H16" s="40"/>
      <c r="I16" s="40"/>
      <c r="J16" s="40"/>
    </row>
    <row r="17" spans="1:11" x14ac:dyDescent="0.2">
      <c r="A17" s="63">
        <v>15</v>
      </c>
      <c r="B17" s="143"/>
      <c r="C17" s="142" t="s">
        <v>8</v>
      </c>
      <c r="D17" s="143"/>
      <c r="E17" s="143"/>
      <c r="F17" s="145" t="str">
        <f t="shared" si="0"/>
        <v xml:space="preserve">,  </v>
      </c>
      <c r="G17" s="148"/>
      <c r="H17" s="40">
        <v>1</v>
      </c>
      <c r="I17" s="40" t="s">
        <v>29</v>
      </c>
      <c r="J17" s="40"/>
    </row>
    <row r="18" spans="1:11" x14ac:dyDescent="0.2">
      <c r="A18" s="63">
        <v>16</v>
      </c>
      <c r="B18" s="143"/>
      <c r="C18" s="142" t="s">
        <v>8</v>
      </c>
      <c r="D18" s="143"/>
      <c r="E18" s="143"/>
      <c r="F18" s="145" t="str">
        <f t="shared" si="0"/>
        <v xml:space="preserve">,  </v>
      </c>
      <c r="G18" s="148"/>
      <c r="H18" s="40"/>
      <c r="I18" s="40" t="s">
        <v>30</v>
      </c>
      <c r="J18" s="40"/>
      <c r="K18" s="40"/>
    </row>
    <row r="19" spans="1:11" x14ac:dyDescent="0.2">
      <c r="A19" s="63">
        <v>17</v>
      </c>
      <c r="B19" s="143"/>
      <c r="C19" s="142" t="s">
        <v>8</v>
      </c>
      <c r="D19" s="143"/>
      <c r="E19" s="143"/>
      <c r="F19" s="145" t="str">
        <f t="shared" si="0"/>
        <v xml:space="preserve">,  </v>
      </c>
      <c r="G19" s="148"/>
      <c r="H19" s="40"/>
      <c r="I19" s="40"/>
      <c r="J19" s="40" t="s">
        <v>47</v>
      </c>
      <c r="K19" s="40"/>
    </row>
    <row r="20" spans="1:11" x14ac:dyDescent="0.2">
      <c r="A20" s="63">
        <v>18</v>
      </c>
      <c r="B20" s="143"/>
      <c r="C20" s="142" t="s">
        <v>8</v>
      </c>
      <c r="D20" s="143"/>
      <c r="E20" s="143"/>
      <c r="F20" s="145" t="str">
        <f t="shared" si="0"/>
        <v xml:space="preserve">,  </v>
      </c>
      <c r="G20" s="148"/>
      <c r="H20" s="40"/>
      <c r="I20" s="40"/>
      <c r="J20" s="40" t="s">
        <v>31</v>
      </c>
    </row>
    <row r="21" spans="1:11" x14ac:dyDescent="0.2">
      <c r="A21" s="63">
        <v>19</v>
      </c>
      <c r="B21" s="143"/>
      <c r="C21" s="142" t="s">
        <v>8</v>
      </c>
      <c r="D21" s="143"/>
      <c r="E21" s="143"/>
      <c r="F21" s="145" t="str">
        <f t="shared" si="0"/>
        <v xml:space="preserve">,  </v>
      </c>
      <c r="G21" s="148"/>
      <c r="H21" s="40"/>
      <c r="I21" s="40"/>
      <c r="J21" s="40" t="s">
        <v>42</v>
      </c>
    </row>
    <row r="22" spans="1:11" ht="18" x14ac:dyDescent="0.2">
      <c r="A22" s="63">
        <v>20</v>
      </c>
      <c r="B22" s="143"/>
      <c r="C22" s="142" t="s">
        <v>8</v>
      </c>
      <c r="D22" s="143"/>
      <c r="E22" s="143"/>
      <c r="F22" s="145" t="str">
        <f t="shared" si="0"/>
        <v xml:space="preserve">,  </v>
      </c>
      <c r="G22" s="148"/>
      <c r="H22" s="40"/>
      <c r="I22" s="40"/>
      <c r="J22" s="40"/>
      <c r="K22" s="39"/>
    </row>
    <row r="23" spans="1:11" ht="18" x14ac:dyDescent="0.2">
      <c r="A23" s="63">
        <v>21</v>
      </c>
      <c r="B23" s="143"/>
      <c r="C23" s="142" t="s">
        <v>8</v>
      </c>
      <c r="D23" s="143"/>
      <c r="E23" s="143"/>
      <c r="F23" s="145" t="str">
        <f t="shared" si="0"/>
        <v xml:space="preserve">,  </v>
      </c>
      <c r="G23" s="148"/>
      <c r="H23" s="40">
        <v>2</v>
      </c>
      <c r="I23" s="40" t="s">
        <v>32</v>
      </c>
      <c r="K23" s="39"/>
    </row>
    <row r="24" spans="1:11" ht="18" x14ac:dyDescent="0.2">
      <c r="A24" s="63">
        <v>22</v>
      </c>
      <c r="B24" s="143"/>
      <c r="C24" s="142" t="s">
        <v>8</v>
      </c>
      <c r="D24" s="143"/>
      <c r="E24" s="143"/>
      <c r="F24" s="145" t="str">
        <f t="shared" si="0"/>
        <v xml:space="preserve">,  </v>
      </c>
      <c r="G24" s="148"/>
      <c r="H24" s="40"/>
      <c r="I24" s="40" t="s">
        <v>33</v>
      </c>
      <c r="K24" s="39"/>
    </row>
    <row r="25" spans="1:11" x14ac:dyDescent="0.2">
      <c r="A25" s="63">
        <v>23</v>
      </c>
      <c r="B25" s="143"/>
      <c r="C25" s="142" t="s">
        <v>8</v>
      </c>
      <c r="D25" s="143"/>
      <c r="E25" s="143"/>
      <c r="F25" s="145" t="str">
        <f t="shared" si="0"/>
        <v xml:space="preserve">,  </v>
      </c>
      <c r="G25" s="148"/>
      <c r="H25" s="41"/>
      <c r="I25" s="41"/>
    </row>
    <row r="26" spans="1:11" ht="18" x14ac:dyDescent="0.2">
      <c r="A26" s="63">
        <v>24</v>
      </c>
      <c r="B26" s="143"/>
      <c r="C26" s="142" t="s">
        <v>8</v>
      </c>
      <c r="D26" s="143"/>
      <c r="E26" s="143"/>
      <c r="F26" s="145" t="str">
        <f t="shared" si="0"/>
        <v xml:space="preserve">,  </v>
      </c>
      <c r="G26" s="148"/>
      <c r="H26" s="40">
        <v>3</v>
      </c>
      <c r="I26" s="40" t="s">
        <v>132</v>
      </c>
      <c r="K26" s="39"/>
    </row>
    <row r="27" spans="1:11" ht="18" x14ac:dyDescent="0.2">
      <c r="A27" s="63">
        <v>25</v>
      </c>
      <c r="B27" s="143"/>
      <c r="C27" s="142" t="s">
        <v>8</v>
      </c>
      <c r="D27" s="143"/>
      <c r="E27" s="143"/>
      <c r="F27" s="145" t="str">
        <f t="shared" si="0"/>
        <v xml:space="preserve">,  </v>
      </c>
      <c r="G27" s="148"/>
      <c r="H27" s="40"/>
      <c r="I27" s="40" t="s">
        <v>139</v>
      </c>
      <c r="K27" s="39"/>
    </row>
    <row r="28" spans="1:11" x14ac:dyDescent="0.2">
      <c r="A28" s="63">
        <v>26</v>
      </c>
      <c r="B28" s="143"/>
      <c r="C28" s="142" t="s">
        <v>8</v>
      </c>
      <c r="D28" s="143"/>
      <c r="E28" s="143"/>
      <c r="F28" s="145" t="str">
        <f t="shared" si="0"/>
        <v xml:space="preserve">,  </v>
      </c>
      <c r="G28" s="148"/>
      <c r="H28" s="41"/>
      <c r="I28" s="40" t="s">
        <v>140</v>
      </c>
    </row>
    <row r="29" spans="1:11" ht="18" x14ac:dyDescent="0.2">
      <c r="A29" s="63">
        <v>27</v>
      </c>
      <c r="B29" s="143"/>
      <c r="C29" s="142" t="s">
        <v>8</v>
      </c>
      <c r="D29" s="143"/>
      <c r="E29" s="143"/>
      <c r="F29" s="145" t="str">
        <f t="shared" si="0"/>
        <v xml:space="preserve">,  </v>
      </c>
      <c r="G29" s="148"/>
      <c r="H29" s="40"/>
      <c r="I29" s="40"/>
      <c r="K29" s="39"/>
    </row>
    <row r="30" spans="1:11" ht="18" x14ac:dyDescent="0.2">
      <c r="A30" s="63">
        <v>28</v>
      </c>
      <c r="B30" s="143"/>
      <c r="C30" s="142" t="s">
        <v>8</v>
      </c>
      <c r="D30" s="143"/>
      <c r="E30" s="143"/>
      <c r="F30" s="145" t="str">
        <f t="shared" si="0"/>
        <v xml:space="preserve">,  </v>
      </c>
      <c r="G30" s="148"/>
      <c r="H30" s="40">
        <v>4</v>
      </c>
      <c r="I30" s="40" t="s">
        <v>133</v>
      </c>
      <c r="K30" s="39"/>
    </row>
    <row r="31" spans="1:11" x14ac:dyDescent="0.2">
      <c r="A31" s="63">
        <v>29</v>
      </c>
      <c r="B31" s="143"/>
      <c r="C31" s="142" t="s">
        <v>8</v>
      </c>
      <c r="D31" s="143"/>
      <c r="E31" s="143"/>
      <c r="F31" s="145" t="str">
        <f t="shared" si="0"/>
        <v xml:space="preserve">,  </v>
      </c>
      <c r="G31" s="148"/>
      <c r="H31" s="40"/>
      <c r="I31" s="40" t="s">
        <v>134</v>
      </c>
    </row>
    <row r="32" spans="1:11" x14ac:dyDescent="0.2">
      <c r="A32" s="63">
        <v>30</v>
      </c>
      <c r="B32" s="143"/>
      <c r="C32" s="142" t="s">
        <v>8</v>
      </c>
      <c r="D32" s="143"/>
      <c r="E32" s="143"/>
      <c r="F32" s="145" t="str">
        <f t="shared" si="0"/>
        <v xml:space="preserve">,  </v>
      </c>
      <c r="G32" s="148"/>
      <c r="H32" s="41"/>
      <c r="I32" s="41"/>
      <c r="J32" s="40" t="s">
        <v>135</v>
      </c>
    </row>
    <row r="33" spans="1:10" x14ac:dyDescent="0.2">
      <c r="A33" s="63">
        <v>31</v>
      </c>
      <c r="B33" s="143"/>
      <c r="C33" s="142" t="s">
        <v>8</v>
      </c>
      <c r="D33" s="143"/>
      <c r="E33" s="143"/>
      <c r="F33" s="145" t="str">
        <f t="shared" si="0"/>
        <v xml:space="preserve">,  </v>
      </c>
      <c r="G33" s="148"/>
      <c r="H33" s="41"/>
      <c r="I33" s="41"/>
      <c r="J33" s="252" t="s">
        <v>136</v>
      </c>
    </row>
    <row r="34" spans="1:10" x14ac:dyDescent="0.2">
      <c r="A34" s="63">
        <v>32</v>
      </c>
      <c r="B34" s="143"/>
      <c r="C34" s="142" t="s">
        <v>8</v>
      </c>
      <c r="D34" s="143"/>
      <c r="E34" s="143"/>
      <c r="F34" s="145" t="str">
        <f t="shared" si="0"/>
        <v xml:space="preserve">,  </v>
      </c>
      <c r="G34" s="148"/>
      <c r="H34" s="41"/>
      <c r="I34" s="41"/>
      <c r="J34" s="252" t="s">
        <v>137</v>
      </c>
    </row>
    <row r="35" spans="1:10" x14ac:dyDescent="0.2">
      <c r="A35" s="63">
        <v>33</v>
      </c>
      <c r="B35" s="143"/>
      <c r="C35" s="142" t="s">
        <v>8</v>
      </c>
      <c r="D35" s="143"/>
      <c r="E35" s="143"/>
      <c r="F35" s="145" t="str">
        <f t="shared" si="0"/>
        <v xml:space="preserve">,  </v>
      </c>
      <c r="G35" s="148"/>
      <c r="H35" s="41"/>
      <c r="I35" s="41"/>
    </row>
    <row r="36" spans="1:10" x14ac:dyDescent="0.2">
      <c r="A36" s="63">
        <v>34</v>
      </c>
      <c r="B36" s="143"/>
      <c r="C36" s="142" t="s">
        <v>8</v>
      </c>
      <c r="D36" s="143"/>
      <c r="E36" s="143"/>
      <c r="F36" s="145" t="str">
        <f t="shared" si="0"/>
        <v xml:space="preserve">,  </v>
      </c>
      <c r="G36" s="148"/>
      <c r="H36" s="41"/>
      <c r="I36" s="41"/>
    </row>
    <row r="37" spans="1:10" x14ac:dyDescent="0.2">
      <c r="A37" s="63">
        <v>35</v>
      </c>
      <c r="B37" s="143"/>
      <c r="C37" s="142" t="s">
        <v>8</v>
      </c>
      <c r="D37" s="143"/>
      <c r="E37" s="143"/>
      <c r="F37" s="145" t="str">
        <f t="shared" si="0"/>
        <v xml:space="preserve">,  </v>
      </c>
      <c r="G37" s="148"/>
      <c r="H37" s="41"/>
      <c r="I37" s="41"/>
    </row>
    <row r="38" spans="1:10" x14ac:dyDescent="0.2">
      <c r="A38" s="63">
        <v>36</v>
      </c>
      <c r="B38" s="143"/>
      <c r="C38" s="142" t="s">
        <v>8</v>
      </c>
      <c r="D38" s="143"/>
      <c r="E38" s="143"/>
      <c r="F38" s="145" t="str">
        <f t="shared" si="0"/>
        <v xml:space="preserve">,  </v>
      </c>
      <c r="G38" s="148"/>
      <c r="H38" s="41"/>
      <c r="I38" s="41"/>
    </row>
    <row r="39" spans="1:10" x14ac:dyDescent="0.2">
      <c r="A39" s="63">
        <v>37</v>
      </c>
      <c r="B39" s="143"/>
      <c r="C39" s="142" t="s">
        <v>8</v>
      </c>
      <c r="D39" s="143"/>
      <c r="E39" s="143"/>
      <c r="F39" s="145" t="str">
        <f t="shared" si="0"/>
        <v xml:space="preserve">,  </v>
      </c>
      <c r="G39" s="148"/>
      <c r="H39" s="41"/>
      <c r="I39" s="41"/>
    </row>
    <row r="40" spans="1:10" x14ac:dyDescent="0.2">
      <c r="A40" s="63">
        <v>38</v>
      </c>
      <c r="B40" s="143"/>
      <c r="C40" s="142" t="s">
        <v>8</v>
      </c>
      <c r="D40" s="143"/>
      <c r="E40" s="143"/>
      <c r="F40" s="145" t="str">
        <f t="shared" si="0"/>
        <v xml:space="preserve">,  </v>
      </c>
      <c r="G40" s="148"/>
      <c r="H40" s="41"/>
      <c r="I40" s="41"/>
    </row>
    <row r="41" spans="1:10" x14ac:dyDescent="0.2">
      <c r="A41" s="63">
        <v>39</v>
      </c>
      <c r="B41" s="143"/>
      <c r="C41" s="142" t="s">
        <v>8</v>
      </c>
      <c r="D41" s="143"/>
      <c r="E41" s="143"/>
      <c r="F41" s="145" t="str">
        <f t="shared" si="0"/>
        <v xml:space="preserve">,  </v>
      </c>
      <c r="G41" s="148"/>
      <c r="H41" s="41"/>
      <c r="I41" s="41"/>
    </row>
    <row r="42" spans="1:10" x14ac:dyDescent="0.2">
      <c r="A42" s="63">
        <v>40</v>
      </c>
      <c r="B42" s="143"/>
      <c r="C42" s="142" t="s">
        <v>8</v>
      </c>
      <c r="D42" s="143"/>
      <c r="E42" s="143"/>
      <c r="F42" s="145" t="str">
        <f t="shared" si="0"/>
        <v xml:space="preserve">,  </v>
      </c>
      <c r="G42" s="148"/>
      <c r="H42" s="41"/>
      <c r="I42" s="41"/>
    </row>
    <row r="43" spans="1:10" x14ac:dyDescent="0.2">
      <c r="A43" s="63">
        <v>41</v>
      </c>
      <c r="B43" s="143"/>
      <c r="C43" s="142" t="s">
        <v>8</v>
      </c>
      <c r="D43" s="143"/>
      <c r="E43" s="143"/>
      <c r="F43" s="145" t="str">
        <f t="shared" si="0"/>
        <v xml:space="preserve">,  </v>
      </c>
      <c r="G43" s="148"/>
      <c r="H43" s="41"/>
      <c r="I43" s="41"/>
    </row>
    <row r="44" spans="1:10" x14ac:dyDescent="0.2">
      <c r="A44" s="63">
        <v>42</v>
      </c>
      <c r="B44" s="143"/>
      <c r="C44" s="142" t="s">
        <v>8</v>
      </c>
      <c r="D44" s="143"/>
      <c r="E44" s="143"/>
      <c r="F44" s="145" t="str">
        <f t="shared" si="0"/>
        <v xml:space="preserve">,  </v>
      </c>
      <c r="G44" s="148"/>
      <c r="H44" s="41"/>
      <c r="I44" s="41"/>
    </row>
    <row r="45" spans="1:10" x14ac:dyDescent="0.2">
      <c r="A45" s="63">
        <v>43</v>
      </c>
      <c r="B45" s="143"/>
      <c r="C45" s="142" t="s">
        <v>8</v>
      </c>
      <c r="D45" s="143"/>
      <c r="E45" s="143"/>
      <c r="F45" s="145" t="str">
        <f t="shared" si="0"/>
        <v xml:space="preserve">,  </v>
      </c>
      <c r="G45" s="148"/>
      <c r="H45" s="41"/>
      <c r="I45" s="41"/>
    </row>
    <row r="46" spans="1:10" x14ac:dyDescent="0.2">
      <c r="A46" s="63">
        <v>44</v>
      </c>
      <c r="B46" s="143"/>
      <c r="C46" s="142" t="s">
        <v>8</v>
      </c>
      <c r="D46" s="143"/>
      <c r="E46" s="143"/>
      <c r="F46" s="145" t="str">
        <f t="shared" si="0"/>
        <v xml:space="preserve">,  </v>
      </c>
      <c r="G46" s="148"/>
      <c r="H46" s="41"/>
      <c r="I46" s="41"/>
    </row>
    <row r="47" spans="1:10" x14ac:dyDescent="0.2">
      <c r="A47" s="63">
        <v>45</v>
      </c>
      <c r="B47" s="143"/>
      <c r="C47" s="142" t="s">
        <v>8</v>
      </c>
      <c r="D47" s="143"/>
      <c r="E47" s="143"/>
      <c r="F47" s="145" t="str">
        <f t="shared" si="0"/>
        <v xml:space="preserve">,  </v>
      </c>
      <c r="G47" s="148"/>
      <c r="H47" s="41"/>
      <c r="I47" s="41"/>
    </row>
    <row r="48" spans="1:10" x14ac:dyDescent="0.2">
      <c r="A48" s="63">
        <v>46</v>
      </c>
      <c r="B48" s="143"/>
      <c r="C48" s="142" t="s">
        <v>8</v>
      </c>
      <c r="D48" s="143"/>
      <c r="E48" s="143"/>
      <c r="F48" s="145" t="str">
        <f t="shared" si="0"/>
        <v xml:space="preserve">,  </v>
      </c>
      <c r="G48" s="148"/>
      <c r="H48" s="41"/>
      <c r="I48" s="41"/>
    </row>
    <row r="49" spans="1:9" x14ac:dyDescent="0.2">
      <c r="A49" s="63">
        <v>47</v>
      </c>
      <c r="B49" s="143"/>
      <c r="C49" s="142" t="s">
        <v>8</v>
      </c>
      <c r="D49" s="143"/>
      <c r="E49" s="143"/>
      <c r="F49" s="145" t="str">
        <f t="shared" si="0"/>
        <v xml:space="preserve">,  </v>
      </c>
      <c r="G49" s="148"/>
      <c r="H49" s="41"/>
      <c r="I49" s="41"/>
    </row>
    <row r="50" spans="1:9" x14ac:dyDescent="0.2">
      <c r="A50" s="63">
        <v>48</v>
      </c>
      <c r="B50" s="143"/>
      <c r="C50" s="142" t="s">
        <v>8</v>
      </c>
      <c r="D50" s="143"/>
      <c r="E50" s="143"/>
      <c r="F50" s="145" t="str">
        <f t="shared" si="0"/>
        <v xml:space="preserve">,  </v>
      </c>
      <c r="G50" s="148"/>
      <c r="H50" s="41"/>
      <c r="I50" s="41"/>
    </row>
    <row r="51" spans="1:9" x14ac:dyDescent="0.2">
      <c r="A51" s="63">
        <v>49</v>
      </c>
      <c r="B51" s="143"/>
      <c r="C51" s="142" t="s">
        <v>8</v>
      </c>
      <c r="D51" s="143"/>
      <c r="E51" s="143"/>
      <c r="F51" s="145" t="str">
        <f t="shared" si="0"/>
        <v xml:space="preserve">,  </v>
      </c>
      <c r="G51" s="148"/>
      <c r="H51" s="41"/>
      <c r="I51" s="41"/>
    </row>
    <row r="52" spans="1:9" x14ac:dyDescent="0.2">
      <c r="A52" s="63">
        <v>50</v>
      </c>
      <c r="B52" s="143"/>
      <c r="C52" s="142" t="s">
        <v>8</v>
      </c>
      <c r="D52" s="143"/>
      <c r="E52" s="143"/>
      <c r="F52" s="145" t="str">
        <f t="shared" si="0"/>
        <v xml:space="preserve">,  </v>
      </c>
      <c r="G52" s="148"/>
      <c r="H52" s="41"/>
      <c r="I52" s="41"/>
    </row>
    <row r="53" spans="1:9" x14ac:dyDescent="0.2">
      <c r="A53" s="63">
        <v>51</v>
      </c>
      <c r="B53" s="143"/>
      <c r="C53" s="142" t="s">
        <v>8</v>
      </c>
      <c r="D53" s="143"/>
      <c r="E53" s="143"/>
      <c r="F53" s="145" t="str">
        <f t="shared" si="0"/>
        <v xml:space="preserve">,  </v>
      </c>
      <c r="G53" s="148"/>
      <c r="H53" s="41"/>
      <c r="I53" s="41"/>
    </row>
    <row r="54" spans="1:9" x14ac:dyDescent="0.2">
      <c r="A54" s="63">
        <v>52</v>
      </c>
      <c r="B54" s="143"/>
      <c r="C54" s="142" t="s">
        <v>8</v>
      </c>
      <c r="D54" s="143"/>
      <c r="E54" s="143"/>
      <c r="F54" s="145" t="str">
        <f t="shared" si="0"/>
        <v xml:space="preserve">,  </v>
      </c>
      <c r="G54" s="148"/>
      <c r="H54" s="41"/>
      <c r="I54" s="41"/>
    </row>
    <row r="55" spans="1:9" x14ac:dyDescent="0.2">
      <c r="A55" s="63">
        <v>53</v>
      </c>
      <c r="B55" s="143"/>
      <c r="C55" s="142" t="s">
        <v>8</v>
      </c>
      <c r="D55" s="143"/>
      <c r="E55" s="141"/>
      <c r="F55" s="145" t="str">
        <f t="shared" si="0"/>
        <v xml:space="preserve">,  </v>
      </c>
      <c r="G55" s="148"/>
      <c r="H55" s="41"/>
      <c r="I55" s="41"/>
    </row>
    <row r="56" spans="1:9" x14ac:dyDescent="0.2">
      <c r="A56" s="63">
        <v>54</v>
      </c>
      <c r="B56" s="143"/>
      <c r="C56" s="142" t="s">
        <v>8</v>
      </c>
      <c r="D56" s="143"/>
      <c r="E56" s="143"/>
      <c r="F56" s="145" t="str">
        <f t="shared" si="0"/>
        <v xml:space="preserve">,  </v>
      </c>
      <c r="G56" s="148"/>
      <c r="H56" s="41"/>
      <c r="I56" s="41"/>
    </row>
    <row r="57" spans="1:9" x14ac:dyDescent="0.2">
      <c r="A57" s="63">
        <v>55</v>
      </c>
      <c r="B57" s="143"/>
      <c r="C57" s="142" t="s">
        <v>8</v>
      </c>
      <c r="D57" s="143"/>
      <c r="E57" s="143"/>
      <c r="F57" s="145" t="str">
        <f t="shared" si="0"/>
        <v xml:space="preserve">,  </v>
      </c>
      <c r="G57" s="148"/>
      <c r="H57" s="41"/>
      <c r="I57" s="41"/>
    </row>
    <row r="58" spans="1:9" x14ac:dyDescent="0.2">
      <c r="A58" s="63">
        <v>56</v>
      </c>
      <c r="B58" s="144"/>
      <c r="C58" s="142" t="s">
        <v>8</v>
      </c>
      <c r="D58" s="144"/>
      <c r="E58" s="144"/>
      <c r="F58" s="145" t="str">
        <f t="shared" si="0"/>
        <v xml:space="preserve">,  </v>
      </c>
      <c r="G58" s="148"/>
    </row>
    <row r="59" spans="1:9" x14ac:dyDescent="0.2">
      <c r="A59" s="63">
        <v>57</v>
      </c>
      <c r="B59" s="144"/>
      <c r="C59" s="142" t="s">
        <v>8</v>
      </c>
      <c r="D59" s="144"/>
      <c r="E59" s="144"/>
      <c r="F59" s="145" t="str">
        <f t="shared" si="0"/>
        <v xml:space="preserve">,  </v>
      </c>
      <c r="G59" s="148"/>
    </row>
    <row r="60" spans="1:9" x14ac:dyDescent="0.2">
      <c r="A60" s="63">
        <v>58</v>
      </c>
      <c r="B60" s="144"/>
      <c r="C60" s="142" t="s">
        <v>8</v>
      </c>
      <c r="D60" s="144"/>
      <c r="E60" s="144"/>
      <c r="F60" s="145" t="str">
        <f t="shared" si="0"/>
        <v xml:space="preserve">,  </v>
      </c>
      <c r="G60" s="148"/>
    </row>
    <row r="61" spans="1:9" x14ac:dyDescent="0.2">
      <c r="A61" s="63">
        <v>59</v>
      </c>
      <c r="B61" s="144"/>
      <c r="C61" s="142" t="s">
        <v>8</v>
      </c>
      <c r="D61" s="144"/>
      <c r="E61" s="144"/>
      <c r="F61" s="145" t="str">
        <f t="shared" si="0"/>
        <v xml:space="preserve">,  </v>
      </c>
      <c r="G61" s="148"/>
    </row>
    <row r="62" spans="1:9" x14ac:dyDescent="0.2">
      <c r="A62" s="63">
        <v>60</v>
      </c>
      <c r="B62" s="144"/>
      <c r="C62" s="142" t="s">
        <v>8</v>
      </c>
      <c r="D62" s="144"/>
      <c r="E62" s="144"/>
      <c r="F62" s="145" t="str">
        <f t="shared" si="0"/>
        <v xml:space="preserve">,  </v>
      </c>
      <c r="G62" s="148"/>
    </row>
  </sheetData>
  <sheetProtection algorithmName="SHA-512" hashValue="3JMv7Zltrc/nx6pAuITtBNAbw/DvCAYotT7p0rM0czzx6Gpnx63rrskHZrGiNZPJdafFy5hyid0GiWd92M9UZg==" saltValue="fGn7uObe97UTLSbFBZerSQ==" spinCount="100000" sheet="1" formatCells="0" formatColumns="0" formatRows="0" sort="0" autoFilter="0" pivotTables="0"/>
  <sortState xmlns:xlrd2="http://schemas.microsoft.com/office/spreadsheetml/2017/richdata2" ref="B4:E12">
    <sortCondition ref="B4:B12"/>
  </sortState>
  <phoneticPr fontId="25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1DE6-E819-5F42-A58B-8DA3D5F407D8}">
  <sheetPr>
    <tabColor rgb="FFE3D3FC"/>
  </sheetPr>
  <dimension ref="A1:AH87"/>
  <sheetViews>
    <sheetView topLeftCell="A75" zoomScaleNormal="100" workbookViewId="0">
      <selection activeCell="J92" sqref="J92"/>
    </sheetView>
  </sheetViews>
  <sheetFormatPr baseColWidth="10" defaultRowHeight="16" x14ac:dyDescent="0.2"/>
  <cols>
    <col min="1" max="1" width="2.83203125" bestFit="1" customWidth="1"/>
    <col min="2" max="2" width="17.5" customWidth="1"/>
    <col min="3" max="3" width="2" bestFit="1" customWidth="1"/>
    <col min="4" max="4" width="18.83203125" customWidth="1"/>
    <col min="5" max="5" width="4" bestFit="1" customWidth="1"/>
    <col min="6" max="11" width="3" style="19" bestFit="1" customWidth="1"/>
    <col min="12" max="12" width="4" style="99" customWidth="1"/>
    <col min="13" max="13" width="4.1640625" style="92" bestFit="1" customWidth="1"/>
    <col min="14" max="14" width="3" style="85" bestFit="1" customWidth="1"/>
    <col min="15" max="15" width="4" style="106" bestFit="1" customWidth="1"/>
    <col min="16" max="21" width="4" style="19" customWidth="1"/>
    <col min="22" max="22" width="4" style="99" customWidth="1"/>
    <col min="23" max="23" width="4" style="92" customWidth="1"/>
    <col min="24" max="24" width="4" style="85" customWidth="1"/>
    <col min="25" max="25" width="4" style="106" customWidth="1"/>
    <col min="26" max="26" width="3.6640625" bestFit="1" customWidth="1"/>
    <col min="27" max="27" width="4.1640625" bestFit="1" customWidth="1"/>
    <col min="28" max="28" width="3.6640625" customWidth="1"/>
    <col min="29" max="29" width="4.83203125" bestFit="1" customWidth="1"/>
    <col min="30" max="30" width="3.6640625" bestFit="1" customWidth="1"/>
    <col min="31" max="33" width="3.6640625" customWidth="1"/>
    <col min="34" max="34" width="9.5" bestFit="1" customWidth="1"/>
  </cols>
  <sheetData>
    <row r="1" spans="1:34" ht="7" customHeight="1" thickBot="1" x14ac:dyDescent="0.25">
      <c r="A1" s="1"/>
      <c r="B1" s="1"/>
      <c r="C1" s="1"/>
      <c r="D1" s="1"/>
      <c r="E1" s="1"/>
      <c r="F1" s="10"/>
      <c r="G1" s="10"/>
      <c r="H1" s="10"/>
      <c r="I1" s="10"/>
      <c r="J1" s="10"/>
      <c r="K1" s="10"/>
      <c r="L1" s="97"/>
      <c r="M1" s="90"/>
      <c r="N1" s="83"/>
      <c r="O1" s="104"/>
      <c r="P1" s="10"/>
      <c r="Q1" s="10"/>
      <c r="R1" s="10"/>
      <c r="S1" s="10"/>
      <c r="T1" s="10"/>
      <c r="U1" s="10"/>
      <c r="V1" s="97"/>
      <c r="W1" s="90"/>
      <c r="X1" s="83"/>
      <c r="Y1" s="104"/>
      <c r="Z1" s="1"/>
      <c r="AA1" s="1"/>
      <c r="AB1" s="1"/>
      <c r="AC1" s="1"/>
      <c r="AD1" s="1"/>
      <c r="AE1" s="1"/>
      <c r="AF1" s="1"/>
      <c r="AG1" s="1"/>
      <c r="AH1" s="1"/>
    </row>
    <row r="2" spans="1:34" ht="30" x14ac:dyDescent="0.2">
      <c r="A2" s="284" t="s">
        <v>0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6"/>
    </row>
    <row r="3" spans="1:34" ht="18" x14ac:dyDescent="0.2">
      <c r="A3" s="287" t="s">
        <v>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9"/>
    </row>
    <row r="4" spans="1:34" ht="17" thickBot="1" x14ac:dyDescent="0.25">
      <c r="A4" s="290" t="str">
        <f>'Class List'!J6</f>
        <v>First Semester, A.Y. 2026 - 2027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2"/>
    </row>
    <row r="5" spans="1:34" ht="49" thickBot="1" x14ac:dyDescent="0.25">
      <c r="A5" s="293" t="str">
        <f>'Class List'!J7</f>
        <v>Department of Business Management &amp; Entrepreneurship</v>
      </c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5"/>
    </row>
    <row r="6" spans="1:34" ht="5" customHeight="1" thickBot="1" x14ac:dyDescent="0.25">
      <c r="A6" s="8"/>
      <c r="B6" s="2"/>
      <c r="C6" s="2"/>
      <c r="D6" s="2"/>
      <c r="E6" s="2"/>
      <c r="F6" s="77"/>
      <c r="G6" s="77"/>
      <c r="H6" s="77"/>
      <c r="I6" s="77"/>
      <c r="J6" s="77"/>
      <c r="K6" s="77"/>
      <c r="L6" s="98"/>
      <c r="M6" s="91"/>
      <c r="N6" s="84"/>
      <c r="O6" s="105"/>
      <c r="P6" s="77"/>
      <c r="Q6" s="77"/>
      <c r="R6" s="77"/>
      <c r="S6" s="77"/>
      <c r="T6" s="77"/>
      <c r="U6" s="77"/>
      <c r="V6" s="98"/>
      <c r="W6" s="91"/>
      <c r="X6" s="84"/>
      <c r="Y6" s="105"/>
      <c r="Z6" s="3"/>
      <c r="AA6" s="3"/>
      <c r="AB6" s="3"/>
      <c r="AC6" s="3"/>
      <c r="AD6" s="3"/>
      <c r="AE6" s="3"/>
      <c r="AF6" s="3"/>
      <c r="AG6" s="3"/>
      <c r="AH6" s="9"/>
    </row>
    <row r="7" spans="1:34" ht="19" thickBot="1" x14ac:dyDescent="0.25">
      <c r="A7" s="278" t="s">
        <v>14</v>
      </c>
      <c r="B7" s="279"/>
      <c r="C7" s="279"/>
      <c r="D7" s="280"/>
      <c r="E7" s="281" t="str">
        <f>'Class List'!J8</f>
        <v>MARL VINCENT L. LABITAD, MPA</v>
      </c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3"/>
    </row>
    <row r="8" spans="1:34" ht="19" thickBot="1" x14ac:dyDescent="0.25">
      <c r="A8" s="278" t="s">
        <v>79</v>
      </c>
      <c r="B8" s="279"/>
      <c r="C8" s="279"/>
      <c r="D8" s="280"/>
      <c r="E8" s="281" t="str">
        <f>'Class List'!J9</f>
        <v>ABM 1</v>
      </c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  <c r="AE8" s="282"/>
      <c r="AF8" s="282"/>
      <c r="AG8" s="282"/>
      <c r="AH8" s="283"/>
    </row>
    <row r="9" spans="1:34" ht="19" thickBot="1" x14ac:dyDescent="0.25">
      <c r="A9" s="278" t="s">
        <v>85</v>
      </c>
      <c r="B9" s="279"/>
      <c r="C9" s="279"/>
      <c r="D9" s="280"/>
      <c r="E9" s="281" t="str">
        <f>'Class List'!J10</f>
        <v>ORGANZIATION AND MANAGEMENT</v>
      </c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3"/>
    </row>
    <row r="10" spans="1:34" ht="19" thickBot="1" x14ac:dyDescent="0.25">
      <c r="A10" s="278" t="s">
        <v>40</v>
      </c>
      <c r="B10" s="279"/>
      <c r="C10" s="279"/>
      <c r="D10" s="280"/>
      <c r="E10" s="281" t="str">
        <f>'Class List'!J11</f>
        <v>MONDAY (9:00-10:30 AM) &amp; WED (7:30-9:00 AM)</v>
      </c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3"/>
    </row>
    <row r="11" spans="1:34" ht="7" customHeight="1" thickBot="1" x14ac:dyDescent="0.25">
      <c r="A11" s="35"/>
      <c r="Z11" s="10"/>
      <c r="AA11" s="10"/>
      <c r="AB11" s="10"/>
      <c r="AC11" s="10"/>
      <c r="AD11" s="1"/>
      <c r="AE11" s="1"/>
      <c r="AF11" s="1"/>
      <c r="AG11" s="1"/>
      <c r="AH11" s="36"/>
    </row>
    <row r="12" spans="1:34" ht="36" thickBot="1" x14ac:dyDescent="0.25">
      <c r="A12" s="253" t="s">
        <v>12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5"/>
    </row>
    <row r="13" spans="1:34" ht="5" customHeight="1" thickBot="1" x14ac:dyDescent="0.25">
      <c r="A13" s="37"/>
      <c r="B13" s="1"/>
      <c r="C13" s="1"/>
      <c r="D13" s="1"/>
      <c r="E13" s="1"/>
      <c r="F13" s="10"/>
      <c r="G13" s="10"/>
      <c r="H13" s="10"/>
      <c r="I13" s="10"/>
      <c r="J13" s="10"/>
      <c r="K13" s="10"/>
      <c r="L13" s="97"/>
      <c r="M13" s="90"/>
      <c r="N13" s="83"/>
      <c r="O13" s="104"/>
      <c r="P13" s="10"/>
      <c r="Q13" s="10"/>
      <c r="R13" s="10"/>
      <c r="S13" s="10"/>
      <c r="T13" s="10"/>
      <c r="U13" s="10"/>
      <c r="V13" s="97"/>
      <c r="W13" s="90"/>
      <c r="X13" s="83"/>
      <c r="Y13" s="104"/>
      <c r="Z13" s="10"/>
      <c r="AA13" s="10"/>
      <c r="AB13" s="10"/>
      <c r="AC13" s="10"/>
      <c r="AD13" s="1"/>
      <c r="AE13" s="1"/>
      <c r="AF13" s="1"/>
      <c r="AG13" s="1"/>
      <c r="AH13" s="11"/>
    </row>
    <row r="14" spans="1:34" ht="33" customHeight="1" x14ac:dyDescent="0.2">
      <c r="A14" s="256" t="s">
        <v>2</v>
      </c>
      <c r="B14" s="257"/>
      <c r="C14" s="257"/>
      <c r="D14" s="257"/>
      <c r="E14" s="258"/>
      <c r="F14" s="271" t="s">
        <v>50</v>
      </c>
      <c r="G14" s="272"/>
      <c r="H14" s="272"/>
      <c r="I14" s="272"/>
      <c r="J14" s="272"/>
      <c r="K14" s="273"/>
      <c r="L14" s="273"/>
      <c r="M14" s="273"/>
      <c r="N14" s="273"/>
      <c r="O14" s="274"/>
      <c r="P14" s="271" t="s">
        <v>64</v>
      </c>
      <c r="Q14" s="272"/>
      <c r="R14" s="272"/>
      <c r="S14" s="272"/>
      <c r="T14" s="272"/>
      <c r="U14" s="273"/>
      <c r="V14" s="273"/>
      <c r="W14" s="273"/>
      <c r="X14" s="273"/>
      <c r="Y14" s="274"/>
      <c r="Z14" s="262" t="s">
        <v>65</v>
      </c>
      <c r="AA14" s="263"/>
      <c r="AB14" s="263"/>
      <c r="AC14" s="263"/>
      <c r="AD14" s="266" t="s">
        <v>51</v>
      </c>
      <c r="AE14" s="262"/>
      <c r="AF14" s="262"/>
      <c r="AG14" s="262"/>
      <c r="AH14" s="268" t="s">
        <v>11</v>
      </c>
    </row>
    <row r="15" spans="1:34" ht="17" thickBot="1" x14ac:dyDescent="0.25">
      <c r="A15" s="259"/>
      <c r="B15" s="260"/>
      <c r="C15" s="260"/>
      <c r="D15" s="260"/>
      <c r="E15" s="261"/>
      <c r="F15" s="275"/>
      <c r="G15" s="276"/>
      <c r="H15" s="276"/>
      <c r="I15" s="276"/>
      <c r="J15" s="276"/>
      <c r="K15" s="276"/>
      <c r="L15" s="276"/>
      <c r="M15" s="276"/>
      <c r="N15" s="276"/>
      <c r="O15" s="277"/>
      <c r="P15" s="275"/>
      <c r="Q15" s="276"/>
      <c r="R15" s="276"/>
      <c r="S15" s="276"/>
      <c r="T15" s="276"/>
      <c r="U15" s="276"/>
      <c r="V15" s="276"/>
      <c r="W15" s="276"/>
      <c r="X15" s="276"/>
      <c r="Y15" s="277"/>
      <c r="Z15" s="264"/>
      <c r="AA15" s="265"/>
      <c r="AB15" s="265"/>
      <c r="AC15" s="265"/>
      <c r="AD15" s="267"/>
      <c r="AE15" s="264"/>
      <c r="AF15" s="264"/>
      <c r="AG15" s="264"/>
      <c r="AH15" s="269"/>
    </row>
    <row r="16" spans="1:34" ht="17" thickBot="1" x14ac:dyDescent="0.25">
      <c r="A16" s="259"/>
      <c r="B16" s="260"/>
      <c r="C16" s="260"/>
      <c r="D16" s="260"/>
      <c r="E16" s="261"/>
      <c r="F16" s="183" t="s">
        <v>52</v>
      </c>
      <c r="G16" s="184" t="s">
        <v>53</v>
      </c>
      <c r="H16" s="184" t="s">
        <v>54</v>
      </c>
      <c r="I16" s="184" t="s">
        <v>55</v>
      </c>
      <c r="J16" s="184" t="s">
        <v>56</v>
      </c>
      <c r="K16" s="185" t="s">
        <v>57</v>
      </c>
      <c r="L16" s="186" t="s">
        <v>48</v>
      </c>
      <c r="M16" s="187" t="s">
        <v>4</v>
      </c>
      <c r="N16" s="188" t="s">
        <v>5</v>
      </c>
      <c r="O16" s="189">
        <v>0.15</v>
      </c>
      <c r="P16" s="183" t="s">
        <v>58</v>
      </c>
      <c r="Q16" s="184" t="s">
        <v>59</v>
      </c>
      <c r="R16" s="184" t="s">
        <v>60</v>
      </c>
      <c r="S16" s="184" t="s">
        <v>61</v>
      </c>
      <c r="T16" s="184" t="s">
        <v>62</v>
      </c>
      <c r="U16" s="184" t="s">
        <v>138</v>
      </c>
      <c r="V16" s="186" t="s">
        <v>48</v>
      </c>
      <c r="W16" s="187" t="s">
        <v>4</v>
      </c>
      <c r="X16" s="188" t="s">
        <v>5</v>
      </c>
      <c r="Y16" s="189">
        <v>0.35</v>
      </c>
      <c r="Z16" s="183" t="s">
        <v>63</v>
      </c>
      <c r="AA16" s="190" t="s">
        <v>4</v>
      </c>
      <c r="AB16" s="191" t="s">
        <v>5</v>
      </c>
      <c r="AC16" s="192">
        <v>0.25</v>
      </c>
      <c r="AD16" s="193" t="s">
        <v>49</v>
      </c>
      <c r="AE16" s="194" t="s">
        <v>4</v>
      </c>
      <c r="AF16" s="195" t="s">
        <v>5</v>
      </c>
      <c r="AG16" s="196">
        <v>0.25</v>
      </c>
      <c r="AH16" s="270"/>
    </row>
    <row r="17" spans="1:34" ht="17" thickBot="1" x14ac:dyDescent="0.25">
      <c r="A17" s="53" t="s">
        <v>6</v>
      </c>
      <c r="B17" s="54" t="s">
        <v>7</v>
      </c>
      <c r="C17" s="55" t="s">
        <v>8</v>
      </c>
      <c r="D17" s="56" t="s">
        <v>9</v>
      </c>
      <c r="E17" s="57" t="s">
        <v>15</v>
      </c>
      <c r="F17" s="197">
        <v>10</v>
      </c>
      <c r="G17" s="198">
        <v>10</v>
      </c>
      <c r="H17" s="198">
        <v>10</v>
      </c>
      <c r="I17" s="198"/>
      <c r="J17" s="198"/>
      <c r="K17" s="199"/>
      <c r="L17" s="200">
        <f>SUM(F17:K17)</f>
        <v>30</v>
      </c>
      <c r="M17" s="201">
        <f>(L17/$L$17)*100</f>
        <v>100</v>
      </c>
      <c r="N17" s="202" t="str">
        <f>LOOKUP(M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O17" s="203">
        <f>N17*$O$16</f>
        <v>0.15</v>
      </c>
      <c r="P17" s="197">
        <v>20</v>
      </c>
      <c r="Q17" s="198">
        <v>20</v>
      </c>
      <c r="R17" s="198"/>
      <c r="S17" s="198"/>
      <c r="T17" s="198"/>
      <c r="U17" s="199"/>
      <c r="V17" s="200">
        <f>SUM(P17:U17)</f>
        <v>40</v>
      </c>
      <c r="W17" s="201">
        <f>(V17/$V$17)*100</f>
        <v>100</v>
      </c>
      <c r="X17" s="202" t="str">
        <f>LOOKUP(W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Y17" s="203">
        <f>X17*$Y$16</f>
        <v>0.35</v>
      </c>
      <c r="Z17" s="204">
        <v>100</v>
      </c>
      <c r="AA17" s="205">
        <f>(Z17/$Z$17)*100</f>
        <v>100</v>
      </c>
      <c r="AB17" s="206" t="str">
        <f>LOOKUP(AA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AC17" s="189">
        <f>AB17*$AC$16</f>
        <v>0.25</v>
      </c>
      <c r="AD17" s="197">
        <v>100</v>
      </c>
      <c r="AE17" s="207">
        <f>(AD17/$AD$17)*100</f>
        <v>100</v>
      </c>
      <c r="AF17" s="195" t="str">
        <f>LOOKUP(AE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AG17" s="208">
        <f>AF17*$AG$16</f>
        <v>0.25</v>
      </c>
      <c r="AH17" s="32">
        <f>O17+Y17+AC17+AG17</f>
        <v>1</v>
      </c>
    </row>
    <row r="18" spans="1:34" ht="17" thickBot="1" x14ac:dyDescent="0.25">
      <c r="A18" s="53"/>
      <c r="B18" s="58"/>
      <c r="C18" s="55"/>
      <c r="D18" s="56"/>
      <c r="E18" s="59"/>
      <c r="F18" s="197"/>
      <c r="G18" s="198"/>
      <c r="H18" s="198"/>
      <c r="I18" s="198"/>
      <c r="J18" s="198"/>
      <c r="K18" s="199"/>
      <c r="L18" s="200"/>
      <c r="M18" s="201"/>
      <c r="N18" s="202"/>
      <c r="O18" s="203"/>
      <c r="P18" s="197"/>
      <c r="Q18" s="198"/>
      <c r="R18" s="198"/>
      <c r="S18" s="198"/>
      <c r="T18" s="198"/>
      <c r="U18" s="199"/>
      <c r="V18" s="200"/>
      <c r="W18" s="201"/>
      <c r="X18" s="202"/>
      <c r="Y18" s="203"/>
      <c r="Z18" s="209"/>
      <c r="AA18" s="205"/>
      <c r="AB18" s="206"/>
      <c r="AC18" s="189"/>
      <c r="AD18" s="197"/>
      <c r="AE18" s="207"/>
      <c r="AF18" s="195"/>
      <c r="AG18" s="208"/>
      <c r="AH18" s="32"/>
    </row>
    <row r="19" spans="1:34" x14ac:dyDescent="0.2">
      <c r="A19" s="60">
        <f>'Class List'!A3</f>
        <v>1</v>
      </c>
      <c r="B19" s="68" t="str">
        <f>'Class List'!B3</f>
        <v>BACALSO</v>
      </c>
      <c r="C19" s="69" t="str">
        <f>'Class List'!C3</f>
        <v>,</v>
      </c>
      <c r="D19" s="69" t="str">
        <f>'Class List'!D3</f>
        <v>HELEN</v>
      </c>
      <c r="E19" s="70" t="str">
        <f>'Class List'!E3</f>
        <v>S.</v>
      </c>
      <c r="F19" s="210"/>
      <c r="G19" s="211"/>
      <c r="H19" s="211"/>
      <c r="I19" s="211"/>
      <c r="J19" s="211"/>
      <c r="K19" s="212"/>
      <c r="L19" s="200">
        <f t="shared" ref="L19:L20" si="0">SUM(F19:K19)</f>
        <v>0</v>
      </c>
      <c r="M19" s="201">
        <f t="shared" ref="M19:M78" si="1">(L19/$L$17)*100</f>
        <v>0</v>
      </c>
      <c r="N19" s="202" t="str">
        <f>LOOKUP(M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19" s="203">
        <f t="shared" ref="O19:O78" si="2">N19*$O$16</f>
        <v>0.6</v>
      </c>
      <c r="P19" s="210"/>
      <c r="Q19" s="211"/>
      <c r="R19" s="211"/>
      <c r="S19" s="211"/>
      <c r="T19" s="211"/>
      <c r="U19" s="212"/>
      <c r="V19" s="200">
        <f t="shared" ref="V19" si="3">SUM(P19:U19)</f>
        <v>0</v>
      </c>
      <c r="W19" s="201">
        <f t="shared" ref="W19:W78" si="4">(V19/$V$17)*100</f>
        <v>0</v>
      </c>
      <c r="X19" s="202" t="str">
        <f>LOOKUP(W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19" s="203">
        <f t="shared" ref="Y19:Y78" si="5">X19*$Y$16</f>
        <v>1.4</v>
      </c>
      <c r="Z19" s="213"/>
      <c r="AA19" s="205">
        <f t="shared" ref="AA19:AA78" si="6">(Z19/$Z$17)*100</f>
        <v>0</v>
      </c>
      <c r="AB19" s="206" t="str">
        <f>LOOKUP(AA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19" s="189">
        <f t="shared" ref="AC19:AC78" si="7">AB19*$AC$16</f>
        <v>1</v>
      </c>
      <c r="AD19" s="210"/>
      <c r="AE19" s="207">
        <f t="shared" ref="AE19:AE78" si="8">(AD19/$AD$17)*100</f>
        <v>0</v>
      </c>
      <c r="AF19" s="195" t="str">
        <f>LOOKUP(AE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19" s="208">
        <f t="shared" ref="AG19:AG78" si="9">AF19*$AG$16</f>
        <v>1</v>
      </c>
      <c r="AH19" s="32">
        <f>O19+Y19+AC19+AG19</f>
        <v>4</v>
      </c>
    </row>
    <row r="20" spans="1:34" x14ac:dyDescent="0.2">
      <c r="A20" s="61">
        <f>'Class List'!A4</f>
        <v>2</v>
      </c>
      <c r="B20" s="71">
        <f>'Class List'!B4</f>
        <v>0</v>
      </c>
      <c r="C20" s="72" t="str">
        <f>'Class List'!C4</f>
        <v>,</v>
      </c>
      <c r="D20" s="72">
        <f>'Class List'!D4</f>
        <v>0</v>
      </c>
      <c r="E20" s="73">
        <f>'Class List'!E4</f>
        <v>0</v>
      </c>
      <c r="F20" s="214"/>
      <c r="G20" s="215"/>
      <c r="H20" s="215"/>
      <c r="I20" s="215"/>
      <c r="J20" s="215"/>
      <c r="K20" s="216"/>
      <c r="L20" s="217">
        <f t="shared" si="0"/>
        <v>0</v>
      </c>
      <c r="M20" s="218">
        <f t="shared" si="1"/>
        <v>0</v>
      </c>
      <c r="N20" s="219" t="str">
        <f>LOOKUP(M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0" s="220">
        <f t="shared" si="2"/>
        <v>0.6</v>
      </c>
      <c r="P20" s="214"/>
      <c r="Q20" s="215"/>
      <c r="R20" s="215"/>
      <c r="S20" s="215"/>
      <c r="T20" s="215"/>
      <c r="U20" s="216"/>
      <c r="V20" s="217">
        <f t="shared" ref="V20" si="10">SUM(P20:U20)</f>
        <v>0</v>
      </c>
      <c r="W20" s="218">
        <f t="shared" si="4"/>
        <v>0</v>
      </c>
      <c r="X20" s="219" t="str">
        <f>LOOKUP(W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0" s="220">
        <f t="shared" si="5"/>
        <v>1.4</v>
      </c>
      <c r="Z20" s="221"/>
      <c r="AA20" s="222">
        <f t="shared" si="6"/>
        <v>0</v>
      </c>
      <c r="AB20" s="223" t="str">
        <f>LOOKUP(AA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0" s="224">
        <f t="shared" si="7"/>
        <v>1</v>
      </c>
      <c r="AD20" s="214"/>
      <c r="AE20" s="225">
        <f t="shared" si="8"/>
        <v>0</v>
      </c>
      <c r="AF20" s="219" t="str">
        <f>LOOKUP(AE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0" s="226">
        <f t="shared" si="9"/>
        <v>1</v>
      </c>
      <c r="AH20" s="146">
        <f t="shared" ref="AH20:AH78" si="11">O20+Y20+AC20+AG20</f>
        <v>4</v>
      </c>
    </row>
    <row r="21" spans="1:34" x14ac:dyDescent="0.2">
      <c r="A21" s="61">
        <f>'Class List'!A5</f>
        <v>3</v>
      </c>
      <c r="B21" s="71">
        <f>'Class List'!B5</f>
        <v>0</v>
      </c>
      <c r="C21" s="72" t="str">
        <f>'Class List'!C5</f>
        <v>,</v>
      </c>
      <c r="D21" s="72">
        <f>'Class List'!D5</f>
        <v>0</v>
      </c>
      <c r="E21" s="73">
        <f>'Class List'!E5</f>
        <v>0</v>
      </c>
      <c r="F21" s="214"/>
      <c r="G21" s="215"/>
      <c r="H21" s="215"/>
      <c r="I21" s="215"/>
      <c r="J21" s="215"/>
      <c r="K21" s="216"/>
      <c r="L21" s="217">
        <f t="shared" ref="L21:L78" si="12">SUM(F21:K21)</f>
        <v>0</v>
      </c>
      <c r="M21" s="218">
        <f t="shared" si="1"/>
        <v>0</v>
      </c>
      <c r="N21" s="219" t="str">
        <f>LOOKUP(M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1" s="220">
        <f t="shared" si="2"/>
        <v>0.6</v>
      </c>
      <c r="P21" s="214"/>
      <c r="Q21" s="215"/>
      <c r="R21" s="215"/>
      <c r="S21" s="215"/>
      <c r="T21" s="215"/>
      <c r="U21" s="216"/>
      <c r="V21" s="217">
        <f t="shared" ref="V21:V78" si="13">SUM(P21:U21)</f>
        <v>0</v>
      </c>
      <c r="W21" s="218">
        <f t="shared" si="4"/>
        <v>0</v>
      </c>
      <c r="X21" s="219" t="str">
        <f>LOOKUP(W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1" s="220">
        <f t="shared" si="5"/>
        <v>1.4</v>
      </c>
      <c r="Z21" s="221"/>
      <c r="AA21" s="222">
        <f t="shared" si="6"/>
        <v>0</v>
      </c>
      <c r="AB21" s="223" t="str">
        <f>LOOKUP(AA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1" s="224">
        <f t="shared" si="7"/>
        <v>1</v>
      </c>
      <c r="AD21" s="214"/>
      <c r="AE21" s="225">
        <f t="shared" si="8"/>
        <v>0</v>
      </c>
      <c r="AF21" s="219" t="str">
        <f>LOOKUP(AE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1" s="226">
        <f t="shared" si="9"/>
        <v>1</v>
      </c>
      <c r="AH21" s="146">
        <f t="shared" si="11"/>
        <v>4</v>
      </c>
    </row>
    <row r="22" spans="1:34" x14ac:dyDescent="0.2">
      <c r="A22" s="61">
        <f>'Class List'!A6</f>
        <v>4</v>
      </c>
      <c r="B22" s="71">
        <f>'Class List'!B6</f>
        <v>0</v>
      </c>
      <c r="C22" s="72" t="str">
        <f>'Class List'!C6</f>
        <v>,</v>
      </c>
      <c r="D22" s="72">
        <f>'Class List'!D6</f>
        <v>0</v>
      </c>
      <c r="E22" s="73">
        <f>'Class List'!E6</f>
        <v>0</v>
      </c>
      <c r="F22" s="214"/>
      <c r="G22" s="215"/>
      <c r="H22" s="215"/>
      <c r="I22" s="215"/>
      <c r="J22" s="215"/>
      <c r="K22" s="216"/>
      <c r="L22" s="217">
        <f t="shared" si="12"/>
        <v>0</v>
      </c>
      <c r="M22" s="218">
        <f t="shared" si="1"/>
        <v>0</v>
      </c>
      <c r="N22" s="219" t="str">
        <f>LOOKUP(M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2" s="220">
        <f t="shared" si="2"/>
        <v>0.6</v>
      </c>
      <c r="P22" s="214"/>
      <c r="Q22" s="215"/>
      <c r="R22" s="215"/>
      <c r="S22" s="215"/>
      <c r="T22" s="215"/>
      <c r="U22" s="216"/>
      <c r="V22" s="217">
        <f t="shared" si="13"/>
        <v>0</v>
      </c>
      <c r="W22" s="218">
        <f t="shared" si="4"/>
        <v>0</v>
      </c>
      <c r="X22" s="219" t="str">
        <f>LOOKUP(W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2" s="220">
        <f t="shared" si="5"/>
        <v>1.4</v>
      </c>
      <c r="Z22" s="221"/>
      <c r="AA22" s="222">
        <f t="shared" si="6"/>
        <v>0</v>
      </c>
      <c r="AB22" s="223" t="str">
        <f>LOOKUP(AA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2" s="224">
        <f t="shared" si="7"/>
        <v>1</v>
      </c>
      <c r="AD22" s="214"/>
      <c r="AE22" s="225">
        <f t="shared" si="8"/>
        <v>0</v>
      </c>
      <c r="AF22" s="219" t="str">
        <f>LOOKUP(AE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2" s="226">
        <f t="shared" si="9"/>
        <v>1</v>
      </c>
      <c r="AH22" s="146">
        <f t="shared" si="11"/>
        <v>4</v>
      </c>
    </row>
    <row r="23" spans="1:34" x14ac:dyDescent="0.2">
      <c r="A23" s="61">
        <f>'Class List'!A7</f>
        <v>5</v>
      </c>
      <c r="B23" s="71">
        <f>'Class List'!B7</f>
        <v>0</v>
      </c>
      <c r="C23" s="72" t="str">
        <f>'Class List'!C7</f>
        <v>,</v>
      </c>
      <c r="D23" s="72">
        <f>'Class List'!D7</f>
        <v>0</v>
      </c>
      <c r="E23" s="73">
        <f>'Class List'!E7</f>
        <v>0</v>
      </c>
      <c r="F23" s="214"/>
      <c r="G23" s="215"/>
      <c r="H23" s="215"/>
      <c r="I23" s="215"/>
      <c r="J23" s="215"/>
      <c r="K23" s="216"/>
      <c r="L23" s="217">
        <f t="shared" si="12"/>
        <v>0</v>
      </c>
      <c r="M23" s="218">
        <f t="shared" si="1"/>
        <v>0</v>
      </c>
      <c r="N23" s="219" t="str">
        <f>LOOKUP(M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3" s="220">
        <f t="shared" si="2"/>
        <v>0.6</v>
      </c>
      <c r="P23" s="214"/>
      <c r="Q23" s="215"/>
      <c r="R23" s="215"/>
      <c r="S23" s="215"/>
      <c r="T23" s="215"/>
      <c r="U23" s="216"/>
      <c r="V23" s="217">
        <f t="shared" si="13"/>
        <v>0</v>
      </c>
      <c r="W23" s="218">
        <f t="shared" si="4"/>
        <v>0</v>
      </c>
      <c r="X23" s="219" t="str">
        <f>LOOKUP(W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3" s="220">
        <f t="shared" si="5"/>
        <v>1.4</v>
      </c>
      <c r="Z23" s="221"/>
      <c r="AA23" s="222">
        <f t="shared" si="6"/>
        <v>0</v>
      </c>
      <c r="AB23" s="223" t="str">
        <f>LOOKUP(AA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3" s="224">
        <f t="shared" si="7"/>
        <v>1</v>
      </c>
      <c r="AD23" s="214"/>
      <c r="AE23" s="225">
        <f t="shared" si="8"/>
        <v>0</v>
      </c>
      <c r="AF23" s="219" t="str">
        <f>LOOKUP(AE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3" s="226">
        <f t="shared" si="9"/>
        <v>1</v>
      </c>
      <c r="AH23" s="146">
        <f t="shared" si="11"/>
        <v>4</v>
      </c>
    </row>
    <row r="24" spans="1:34" x14ac:dyDescent="0.2">
      <c r="A24" s="61">
        <f>'Class List'!A8</f>
        <v>6</v>
      </c>
      <c r="B24" s="71">
        <f>'Class List'!B8</f>
        <v>0</v>
      </c>
      <c r="C24" s="72" t="str">
        <f>'Class List'!C8</f>
        <v>,</v>
      </c>
      <c r="D24" s="72">
        <f>'Class List'!D8</f>
        <v>0</v>
      </c>
      <c r="E24" s="73">
        <f>'Class List'!E8</f>
        <v>0</v>
      </c>
      <c r="F24" s="214"/>
      <c r="G24" s="215"/>
      <c r="H24" s="215"/>
      <c r="I24" s="215"/>
      <c r="J24" s="215"/>
      <c r="K24" s="216"/>
      <c r="L24" s="217">
        <f t="shared" si="12"/>
        <v>0</v>
      </c>
      <c r="M24" s="218">
        <f t="shared" si="1"/>
        <v>0</v>
      </c>
      <c r="N24" s="219" t="str">
        <f>LOOKUP(M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4" s="220">
        <f t="shared" si="2"/>
        <v>0.6</v>
      </c>
      <c r="P24" s="214"/>
      <c r="Q24" s="215"/>
      <c r="R24" s="215"/>
      <c r="S24" s="215"/>
      <c r="T24" s="215"/>
      <c r="U24" s="216"/>
      <c r="V24" s="217">
        <f t="shared" si="13"/>
        <v>0</v>
      </c>
      <c r="W24" s="218">
        <f t="shared" si="4"/>
        <v>0</v>
      </c>
      <c r="X24" s="219" t="str">
        <f>LOOKUP(W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4" s="220">
        <f t="shared" si="5"/>
        <v>1.4</v>
      </c>
      <c r="Z24" s="221"/>
      <c r="AA24" s="222">
        <f t="shared" si="6"/>
        <v>0</v>
      </c>
      <c r="AB24" s="223" t="str">
        <f>LOOKUP(AA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4" s="224">
        <f t="shared" si="7"/>
        <v>1</v>
      </c>
      <c r="AD24" s="214"/>
      <c r="AE24" s="225">
        <f t="shared" si="8"/>
        <v>0</v>
      </c>
      <c r="AF24" s="219" t="str">
        <f>LOOKUP(AE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4" s="226">
        <f t="shared" si="9"/>
        <v>1</v>
      </c>
      <c r="AH24" s="146">
        <f t="shared" si="11"/>
        <v>4</v>
      </c>
    </row>
    <row r="25" spans="1:34" x14ac:dyDescent="0.2">
      <c r="A25" s="61">
        <f>'Class List'!A9</f>
        <v>7</v>
      </c>
      <c r="B25" s="71">
        <f>'Class List'!B9</f>
        <v>0</v>
      </c>
      <c r="C25" s="72" t="str">
        <f>'Class List'!C9</f>
        <v>,</v>
      </c>
      <c r="D25" s="72">
        <f>'Class List'!D9</f>
        <v>0</v>
      </c>
      <c r="E25" s="73">
        <f>'Class List'!E9</f>
        <v>0</v>
      </c>
      <c r="F25" s="214"/>
      <c r="G25" s="215"/>
      <c r="H25" s="215"/>
      <c r="I25" s="215"/>
      <c r="J25" s="215"/>
      <c r="K25" s="216"/>
      <c r="L25" s="217">
        <f t="shared" si="12"/>
        <v>0</v>
      </c>
      <c r="M25" s="218">
        <f t="shared" si="1"/>
        <v>0</v>
      </c>
      <c r="N25" s="219" t="str">
        <f>LOOKUP(M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5" s="220">
        <f t="shared" si="2"/>
        <v>0.6</v>
      </c>
      <c r="P25" s="214"/>
      <c r="Q25" s="215"/>
      <c r="R25" s="215"/>
      <c r="S25" s="215"/>
      <c r="T25" s="215"/>
      <c r="U25" s="216"/>
      <c r="V25" s="217">
        <f t="shared" si="13"/>
        <v>0</v>
      </c>
      <c r="W25" s="218">
        <f t="shared" si="4"/>
        <v>0</v>
      </c>
      <c r="X25" s="219" t="str">
        <f>LOOKUP(W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5" s="220">
        <f t="shared" si="5"/>
        <v>1.4</v>
      </c>
      <c r="Z25" s="221"/>
      <c r="AA25" s="222">
        <f t="shared" si="6"/>
        <v>0</v>
      </c>
      <c r="AB25" s="223" t="str">
        <f>LOOKUP(AA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5" s="224">
        <f t="shared" si="7"/>
        <v>1</v>
      </c>
      <c r="AD25" s="214"/>
      <c r="AE25" s="225">
        <f t="shared" si="8"/>
        <v>0</v>
      </c>
      <c r="AF25" s="219" t="str">
        <f>LOOKUP(AE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5" s="226">
        <f t="shared" si="9"/>
        <v>1</v>
      </c>
      <c r="AH25" s="146">
        <f t="shared" si="11"/>
        <v>4</v>
      </c>
    </row>
    <row r="26" spans="1:34" x14ac:dyDescent="0.2">
      <c r="A26" s="61">
        <f>'Class List'!A10</f>
        <v>8</v>
      </c>
      <c r="B26" s="71">
        <f>'Class List'!B10</f>
        <v>0</v>
      </c>
      <c r="C26" s="72" t="str">
        <f>'Class List'!C10</f>
        <v>,</v>
      </c>
      <c r="D26" s="72">
        <f>'Class List'!D10</f>
        <v>0</v>
      </c>
      <c r="E26" s="73">
        <f>'Class List'!E10</f>
        <v>0</v>
      </c>
      <c r="F26" s="214"/>
      <c r="G26" s="215"/>
      <c r="H26" s="215"/>
      <c r="I26" s="215"/>
      <c r="J26" s="215"/>
      <c r="K26" s="216"/>
      <c r="L26" s="217">
        <f t="shared" si="12"/>
        <v>0</v>
      </c>
      <c r="M26" s="218">
        <f t="shared" si="1"/>
        <v>0</v>
      </c>
      <c r="N26" s="219" t="str">
        <f>LOOKUP(M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6" s="220">
        <f t="shared" si="2"/>
        <v>0.6</v>
      </c>
      <c r="P26" s="214"/>
      <c r="Q26" s="215"/>
      <c r="R26" s="215"/>
      <c r="S26" s="215"/>
      <c r="T26" s="215"/>
      <c r="U26" s="216"/>
      <c r="V26" s="217">
        <f t="shared" si="13"/>
        <v>0</v>
      </c>
      <c r="W26" s="218">
        <f t="shared" si="4"/>
        <v>0</v>
      </c>
      <c r="X26" s="219" t="str">
        <f>LOOKUP(W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6" s="220">
        <f t="shared" si="5"/>
        <v>1.4</v>
      </c>
      <c r="Z26" s="221"/>
      <c r="AA26" s="222">
        <f t="shared" si="6"/>
        <v>0</v>
      </c>
      <c r="AB26" s="223" t="str">
        <f>LOOKUP(AA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6" s="224">
        <f t="shared" si="7"/>
        <v>1</v>
      </c>
      <c r="AD26" s="214"/>
      <c r="AE26" s="225">
        <f t="shared" si="8"/>
        <v>0</v>
      </c>
      <c r="AF26" s="219" t="str">
        <f>LOOKUP(AE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6" s="226">
        <f t="shared" si="9"/>
        <v>1</v>
      </c>
      <c r="AH26" s="146">
        <f t="shared" si="11"/>
        <v>4</v>
      </c>
    </row>
    <row r="27" spans="1:34" x14ac:dyDescent="0.2">
      <c r="A27" s="61">
        <f>'Class List'!A11</f>
        <v>9</v>
      </c>
      <c r="B27" s="71">
        <f>'Class List'!B11</f>
        <v>0</v>
      </c>
      <c r="C27" s="72" t="str">
        <f>'Class List'!C11</f>
        <v>,</v>
      </c>
      <c r="D27" s="72">
        <f>'Class List'!D11</f>
        <v>0</v>
      </c>
      <c r="E27" s="73">
        <f>'Class List'!E11</f>
        <v>0</v>
      </c>
      <c r="F27" s="214"/>
      <c r="G27" s="215"/>
      <c r="H27" s="215"/>
      <c r="I27" s="215"/>
      <c r="J27" s="215"/>
      <c r="K27" s="216"/>
      <c r="L27" s="217">
        <f t="shared" si="12"/>
        <v>0</v>
      </c>
      <c r="M27" s="218">
        <f t="shared" si="1"/>
        <v>0</v>
      </c>
      <c r="N27" s="219" t="str">
        <f>LOOKUP(M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7" s="220">
        <f t="shared" si="2"/>
        <v>0.6</v>
      </c>
      <c r="P27" s="214"/>
      <c r="Q27" s="215"/>
      <c r="R27" s="215"/>
      <c r="S27" s="215"/>
      <c r="T27" s="215"/>
      <c r="U27" s="216"/>
      <c r="V27" s="217">
        <f t="shared" si="13"/>
        <v>0</v>
      </c>
      <c r="W27" s="218">
        <f t="shared" si="4"/>
        <v>0</v>
      </c>
      <c r="X27" s="219" t="str">
        <f>LOOKUP(W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7" s="220">
        <f t="shared" si="5"/>
        <v>1.4</v>
      </c>
      <c r="Z27" s="221"/>
      <c r="AA27" s="222">
        <f t="shared" si="6"/>
        <v>0</v>
      </c>
      <c r="AB27" s="223" t="str">
        <f>LOOKUP(AA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7" s="224">
        <f t="shared" si="7"/>
        <v>1</v>
      </c>
      <c r="AD27" s="214"/>
      <c r="AE27" s="225">
        <f t="shared" si="8"/>
        <v>0</v>
      </c>
      <c r="AF27" s="219" t="str">
        <f>LOOKUP(AE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7" s="226">
        <f t="shared" si="9"/>
        <v>1</v>
      </c>
      <c r="AH27" s="146">
        <f t="shared" si="11"/>
        <v>4</v>
      </c>
    </row>
    <row r="28" spans="1:34" x14ac:dyDescent="0.2">
      <c r="A28" s="61">
        <f>'Class List'!A12</f>
        <v>10</v>
      </c>
      <c r="B28" s="71">
        <f>'Class List'!B12</f>
        <v>0</v>
      </c>
      <c r="C28" s="72" t="str">
        <f>'Class List'!C12</f>
        <v>,</v>
      </c>
      <c r="D28" s="72">
        <f>'Class List'!D12</f>
        <v>0</v>
      </c>
      <c r="E28" s="73">
        <f>'Class List'!E12</f>
        <v>0</v>
      </c>
      <c r="F28" s="214"/>
      <c r="G28" s="215"/>
      <c r="H28" s="215"/>
      <c r="I28" s="215"/>
      <c r="J28" s="215"/>
      <c r="K28" s="216"/>
      <c r="L28" s="217">
        <f t="shared" si="12"/>
        <v>0</v>
      </c>
      <c r="M28" s="218">
        <f t="shared" si="1"/>
        <v>0</v>
      </c>
      <c r="N28" s="219" t="str">
        <f>LOOKUP(M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8" s="220">
        <f t="shared" si="2"/>
        <v>0.6</v>
      </c>
      <c r="P28" s="214"/>
      <c r="Q28" s="215"/>
      <c r="R28" s="215"/>
      <c r="S28" s="215"/>
      <c r="T28" s="215"/>
      <c r="U28" s="216"/>
      <c r="V28" s="217">
        <f t="shared" si="13"/>
        <v>0</v>
      </c>
      <c r="W28" s="218">
        <f t="shared" si="4"/>
        <v>0</v>
      </c>
      <c r="X28" s="219" t="str">
        <f>LOOKUP(W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8" s="220">
        <f t="shared" si="5"/>
        <v>1.4</v>
      </c>
      <c r="Z28" s="221"/>
      <c r="AA28" s="222">
        <f t="shared" si="6"/>
        <v>0</v>
      </c>
      <c r="AB28" s="223" t="str">
        <f>LOOKUP(AA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8" s="224">
        <f t="shared" si="7"/>
        <v>1</v>
      </c>
      <c r="AD28" s="214"/>
      <c r="AE28" s="225">
        <f t="shared" si="8"/>
        <v>0</v>
      </c>
      <c r="AF28" s="219" t="str">
        <f>LOOKUP(AE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8" s="226">
        <f t="shared" si="9"/>
        <v>1</v>
      </c>
      <c r="AH28" s="146">
        <f t="shared" si="11"/>
        <v>4</v>
      </c>
    </row>
    <row r="29" spans="1:34" x14ac:dyDescent="0.2">
      <c r="A29" s="61">
        <f>'Class List'!A13</f>
        <v>11</v>
      </c>
      <c r="B29" s="71">
        <f>'Class List'!B13</f>
        <v>0</v>
      </c>
      <c r="C29" s="72" t="str">
        <f>'Class List'!C13</f>
        <v>,</v>
      </c>
      <c r="D29" s="72">
        <f>'Class List'!D13</f>
        <v>0</v>
      </c>
      <c r="E29" s="73">
        <f>'Class List'!E13</f>
        <v>0</v>
      </c>
      <c r="F29" s="214"/>
      <c r="G29" s="215"/>
      <c r="H29" s="215"/>
      <c r="I29" s="215"/>
      <c r="J29" s="215"/>
      <c r="K29" s="216"/>
      <c r="L29" s="217">
        <f t="shared" si="12"/>
        <v>0</v>
      </c>
      <c r="M29" s="218">
        <f t="shared" si="1"/>
        <v>0</v>
      </c>
      <c r="N29" s="219" t="str">
        <f>LOOKUP(M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9" s="220">
        <f t="shared" si="2"/>
        <v>0.6</v>
      </c>
      <c r="P29" s="214"/>
      <c r="Q29" s="215"/>
      <c r="R29" s="215"/>
      <c r="S29" s="215"/>
      <c r="T29" s="215"/>
      <c r="U29" s="216"/>
      <c r="V29" s="217">
        <f t="shared" si="13"/>
        <v>0</v>
      </c>
      <c r="W29" s="218">
        <f t="shared" si="4"/>
        <v>0</v>
      </c>
      <c r="X29" s="219" t="str">
        <f>LOOKUP(W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9" s="220">
        <f t="shared" si="5"/>
        <v>1.4</v>
      </c>
      <c r="Z29" s="221"/>
      <c r="AA29" s="222">
        <f t="shared" si="6"/>
        <v>0</v>
      </c>
      <c r="AB29" s="223" t="str">
        <f>LOOKUP(AA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9" s="224">
        <f t="shared" si="7"/>
        <v>1</v>
      </c>
      <c r="AD29" s="214"/>
      <c r="AE29" s="225">
        <f t="shared" si="8"/>
        <v>0</v>
      </c>
      <c r="AF29" s="219" t="str">
        <f>LOOKUP(AE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9" s="226">
        <f t="shared" si="9"/>
        <v>1</v>
      </c>
      <c r="AH29" s="146">
        <f t="shared" si="11"/>
        <v>4</v>
      </c>
    </row>
    <row r="30" spans="1:34" x14ac:dyDescent="0.2">
      <c r="A30" s="61">
        <f>'Class List'!A14</f>
        <v>12</v>
      </c>
      <c r="B30" s="71">
        <f>'Class List'!B14</f>
        <v>0</v>
      </c>
      <c r="C30" s="72" t="str">
        <f>'Class List'!C14</f>
        <v>,</v>
      </c>
      <c r="D30" s="72">
        <f>'Class List'!D14</f>
        <v>0</v>
      </c>
      <c r="E30" s="73">
        <f>'Class List'!E14</f>
        <v>0</v>
      </c>
      <c r="F30" s="214"/>
      <c r="G30" s="215"/>
      <c r="H30" s="215"/>
      <c r="I30" s="215"/>
      <c r="J30" s="215"/>
      <c r="K30" s="216"/>
      <c r="L30" s="217">
        <f t="shared" si="12"/>
        <v>0</v>
      </c>
      <c r="M30" s="218">
        <f t="shared" si="1"/>
        <v>0</v>
      </c>
      <c r="N30" s="219" t="str">
        <f>LOOKUP(M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0" s="220">
        <f t="shared" si="2"/>
        <v>0.6</v>
      </c>
      <c r="P30" s="214"/>
      <c r="Q30" s="215"/>
      <c r="R30" s="215"/>
      <c r="S30" s="215"/>
      <c r="T30" s="215"/>
      <c r="U30" s="216"/>
      <c r="V30" s="217">
        <f t="shared" si="13"/>
        <v>0</v>
      </c>
      <c r="W30" s="218">
        <f t="shared" si="4"/>
        <v>0</v>
      </c>
      <c r="X30" s="219" t="str">
        <f>LOOKUP(W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0" s="220">
        <f t="shared" si="5"/>
        <v>1.4</v>
      </c>
      <c r="Z30" s="221"/>
      <c r="AA30" s="222">
        <f t="shared" si="6"/>
        <v>0</v>
      </c>
      <c r="AB30" s="223" t="str">
        <f>LOOKUP(AA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0" s="224">
        <f t="shared" si="7"/>
        <v>1</v>
      </c>
      <c r="AD30" s="214"/>
      <c r="AE30" s="225">
        <f t="shared" si="8"/>
        <v>0</v>
      </c>
      <c r="AF30" s="219" t="str">
        <f>LOOKUP(AE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0" s="226">
        <f t="shared" si="9"/>
        <v>1</v>
      </c>
      <c r="AH30" s="146">
        <f t="shared" si="11"/>
        <v>4</v>
      </c>
    </row>
    <row r="31" spans="1:34" x14ac:dyDescent="0.2">
      <c r="A31" s="61">
        <f>'Class List'!A15</f>
        <v>13</v>
      </c>
      <c r="B31" s="71">
        <f>'Class List'!B15</f>
        <v>0</v>
      </c>
      <c r="C31" s="72" t="str">
        <f>'Class List'!C15</f>
        <v>,</v>
      </c>
      <c r="D31" s="72">
        <f>'Class List'!D15</f>
        <v>0</v>
      </c>
      <c r="E31" s="73">
        <f>'Class List'!E15</f>
        <v>0</v>
      </c>
      <c r="F31" s="214"/>
      <c r="G31" s="215"/>
      <c r="H31" s="215"/>
      <c r="I31" s="215"/>
      <c r="J31" s="215"/>
      <c r="K31" s="216"/>
      <c r="L31" s="217">
        <f t="shared" si="12"/>
        <v>0</v>
      </c>
      <c r="M31" s="218">
        <f t="shared" si="1"/>
        <v>0</v>
      </c>
      <c r="N31" s="219" t="str">
        <f>LOOKUP(M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1" s="220">
        <f t="shared" si="2"/>
        <v>0.6</v>
      </c>
      <c r="P31" s="214"/>
      <c r="Q31" s="215"/>
      <c r="R31" s="215"/>
      <c r="S31" s="215"/>
      <c r="T31" s="215"/>
      <c r="U31" s="216"/>
      <c r="V31" s="217">
        <f t="shared" si="13"/>
        <v>0</v>
      </c>
      <c r="W31" s="218">
        <f t="shared" si="4"/>
        <v>0</v>
      </c>
      <c r="X31" s="219" t="str">
        <f>LOOKUP(W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1" s="220">
        <f t="shared" si="5"/>
        <v>1.4</v>
      </c>
      <c r="Z31" s="221"/>
      <c r="AA31" s="222">
        <f t="shared" si="6"/>
        <v>0</v>
      </c>
      <c r="AB31" s="223" t="str">
        <f>LOOKUP(AA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1" s="224">
        <f t="shared" si="7"/>
        <v>1</v>
      </c>
      <c r="AD31" s="214"/>
      <c r="AE31" s="225">
        <f t="shared" si="8"/>
        <v>0</v>
      </c>
      <c r="AF31" s="219" t="str">
        <f>LOOKUP(AE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1" s="226">
        <f t="shared" si="9"/>
        <v>1</v>
      </c>
      <c r="AH31" s="146">
        <f t="shared" si="11"/>
        <v>4</v>
      </c>
    </row>
    <row r="32" spans="1:34" x14ac:dyDescent="0.2">
      <c r="A32" s="61">
        <f>'Class List'!A16</f>
        <v>14</v>
      </c>
      <c r="B32" s="71">
        <f>'Class List'!B16</f>
        <v>0</v>
      </c>
      <c r="C32" s="72" t="str">
        <f>'Class List'!C16</f>
        <v>,</v>
      </c>
      <c r="D32" s="72">
        <f>'Class List'!D16</f>
        <v>0</v>
      </c>
      <c r="E32" s="73">
        <f>'Class List'!E16</f>
        <v>0</v>
      </c>
      <c r="F32" s="214"/>
      <c r="G32" s="215"/>
      <c r="H32" s="215"/>
      <c r="I32" s="215"/>
      <c r="J32" s="215"/>
      <c r="K32" s="216"/>
      <c r="L32" s="217">
        <f t="shared" si="12"/>
        <v>0</v>
      </c>
      <c r="M32" s="218">
        <f t="shared" si="1"/>
        <v>0</v>
      </c>
      <c r="N32" s="219" t="str">
        <f>LOOKUP(M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2" s="220">
        <f t="shared" si="2"/>
        <v>0.6</v>
      </c>
      <c r="P32" s="214"/>
      <c r="Q32" s="215"/>
      <c r="R32" s="215"/>
      <c r="S32" s="215"/>
      <c r="T32" s="215"/>
      <c r="U32" s="216"/>
      <c r="V32" s="217">
        <f t="shared" si="13"/>
        <v>0</v>
      </c>
      <c r="W32" s="218">
        <f t="shared" si="4"/>
        <v>0</v>
      </c>
      <c r="X32" s="219" t="str">
        <f>LOOKUP(W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2" s="220">
        <f t="shared" si="5"/>
        <v>1.4</v>
      </c>
      <c r="Z32" s="221"/>
      <c r="AA32" s="222">
        <f t="shared" si="6"/>
        <v>0</v>
      </c>
      <c r="AB32" s="223" t="str">
        <f>LOOKUP(AA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2" s="224">
        <f t="shared" si="7"/>
        <v>1</v>
      </c>
      <c r="AD32" s="214"/>
      <c r="AE32" s="225">
        <f t="shared" si="8"/>
        <v>0</v>
      </c>
      <c r="AF32" s="219" t="str">
        <f>LOOKUP(AE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2" s="226">
        <f t="shared" si="9"/>
        <v>1</v>
      </c>
      <c r="AH32" s="146">
        <f t="shared" si="11"/>
        <v>4</v>
      </c>
    </row>
    <row r="33" spans="1:34" x14ac:dyDescent="0.2">
      <c r="A33" s="61">
        <f>'Class List'!A17</f>
        <v>15</v>
      </c>
      <c r="B33" s="71">
        <f>'Class List'!B17</f>
        <v>0</v>
      </c>
      <c r="C33" s="72" t="str">
        <f>'Class List'!C17</f>
        <v>,</v>
      </c>
      <c r="D33" s="72">
        <f>'Class List'!D17</f>
        <v>0</v>
      </c>
      <c r="E33" s="73">
        <f>'Class List'!E17</f>
        <v>0</v>
      </c>
      <c r="F33" s="214"/>
      <c r="G33" s="215"/>
      <c r="H33" s="215"/>
      <c r="I33" s="215"/>
      <c r="J33" s="215"/>
      <c r="K33" s="216"/>
      <c r="L33" s="217">
        <f t="shared" si="12"/>
        <v>0</v>
      </c>
      <c r="M33" s="218">
        <f t="shared" si="1"/>
        <v>0</v>
      </c>
      <c r="N33" s="219" t="str">
        <f>LOOKUP(M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3" s="220">
        <f t="shared" si="2"/>
        <v>0.6</v>
      </c>
      <c r="P33" s="214"/>
      <c r="Q33" s="215"/>
      <c r="R33" s="215"/>
      <c r="S33" s="215"/>
      <c r="T33" s="215"/>
      <c r="U33" s="216"/>
      <c r="V33" s="217">
        <f t="shared" si="13"/>
        <v>0</v>
      </c>
      <c r="W33" s="218">
        <f t="shared" si="4"/>
        <v>0</v>
      </c>
      <c r="X33" s="219" t="str">
        <f>LOOKUP(W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3" s="220">
        <f t="shared" si="5"/>
        <v>1.4</v>
      </c>
      <c r="Z33" s="221"/>
      <c r="AA33" s="222">
        <f t="shared" si="6"/>
        <v>0</v>
      </c>
      <c r="AB33" s="223" t="str">
        <f>LOOKUP(AA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3" s="224">
        <f t="shared" si="7"/>
        <v>1</v>
      </c>
      <c r="AD33" s="214"/>
      <c r="AE33" s="225">
        <f t="shared" si="8"/>
        <v>0</v>
      </c>
      <c r="AF33" s="219" t="str">
        <f>LOOKUP(AE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3" s="226">
        <f t="shared" si="9"/>
        <v>1</v>
      </c>
      <c r="AH33" s="146">
        <f t="shared" si="11"/>
        <v>4</v>
      </c>
    </row>
    <row r="34" spans="1:34" x14ac:dyDescent="0.2">
      <c r="A34" s="61">
        <f>'Class List'!A18</f>
        <v>16</v>
      </c>
      <c r="B34" s="71">
        <f>'Class List'!B18</f>
        <v>0</v>
      </c>
      <c r="C34" s="72" t="str">
        <f>'Class List'!C18</f>
        <v>,</v>
      </c>
      <c r="D34" s="72">
        <f>'Class List'!D18</f>
        <v>0</v>
      </c>
      <c r="E34" s="73">
        <f>'Class List'!E18</f>
        <v>0</v>
      </c>
      <c r="F34" s="214"/>
      <c r="G34" s="215"/>
      <c r="H34" s="215"/>
      <c r="I34" s="215"/>
      <c r="J34" s="215"/>
      <c r="K34" s="216"/>
      <c r="L34" s="217">
        <f t="shared" si="12"/>
        <v>0</v>
      </c>
      <c r="M34" s="218">
        <f t="shared" si="1"/>
        <v>0</v>
      </c>
      <c r="N34" s="219" t="str">
        <f>LOOKUP(M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4" s="220">
        <f t="shared" si="2"/>
        <v>0.6</v>
      </c>
      <c r="P34" s="214"/>
      <c r="Q34" s="215"/>
      <c r="R34" s="215"/>
      <c r="S34" s="215"/>
      <c r="T34" s="215"/>
      <c r="U34" s="216"/>
      <c r="V34" s="217">
        <f t="shared" si="13"/>
        <v>0</v>
      </c>
      <c r="W34" s="218">
        <f t="shared" si="4"/>
        <v>0</v>
      </c>
      <c r="X34" s="219" t="str">
        <f>LOOKUP(W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4" s="220">
        <f t="shared" si="5"/>
        <v>1.4</v>
      </c>
      <c r="Z34" s="221"/>
      <c r="AA34" s="222">
        <f t="shared" si="6"/>
        <v>0</v>
      </c>
      <c r="AB34" s="223" t="str">
        <f>LOOKUP(AA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4" s="224">
        <f t="shared" si="7"/>
        <v>1</v>
      </c>
      <c r="AD34" s="214"/>
      <c r="AE34" s="225">
        <f t="shared" si="8"/>
        <v>0</v>
      </c>
      <c r="AF34" s="219" t="str">
        <f>LOOKUP(AE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4" s="226">
        <f t="shared" si="9"/>
        <v>1</v>
      </c>
      <c r="AH34" s="146">
        <f t="shared" si="11"/>
        <v>4</v>
      </c>
    </row>
    <row r="35" spans="1:34" x14ac:dyDescent="0.2">
      <c r="A35" s="61">
        <f>'Class List'!A19</f>
        <v>17</v>
      </c>
      <c r="B35" s="71">
        <f>'Class List'!B19</f>
        <v>0</v>
      </c>
      <c r="C35" s="72" t="str">
        <f>'Class List'!C19</f>
        <v>,</v>
      </c>
      <c r="D35" s="72">
        <f>'Class List'!D19</f>
        <v>0</v>
      </c>
      <c r="E35" s="73">
        <f>'Class List'!E19</f>
        <v>0</v>
      </c>
      <c r="F35" s="214"/>
      <c r="G35" s="215"/>
      <c r="H35" s="215"/>
      <c r="I35" s="215"/>
      <c r="J35" s="215"/>
      <c r="K35" s="216"/>
      <c r="L35" s="217">
        <f t="shared" si="12"/>
        <v>0</v>
      </c>
      <c r="M35" s="218">
        <f t="shared" si="1"/>
        <v>0</v>
      </c>
      <c r="N35" s="219" t="str">
        <f>LOOKUP(M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5" s="220">
        <f t="shared" si="2"/>
        <v>0.6</v>
      </c>
      <c r="P35" s="214"/>
      <c r="Q35" s="215"/>
      <c r="R35" s="215"/>
      <c r="S35" s="215"/>
      <c r="T35" s="215"/>
      <c r="U35" s="216"/>
      <c r="V35" s="217">
        <f t="shared" si="13"/>
        <v>0</v>
      </c>
      <c r="W35" s="218">
        <f t="shared" si="4"/>
        <v>0</v>
      </c>
      <c r="X35" s="219" t="str">
        <f>LOOKUP(W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5" s="220">
        <f t="shared" si="5"/>
        <v>1.4</v>
      </c>
      <c r="Z35" s="221"/>
      <c r="AA35" s="222">
        <f t="shared" si="6"/>
        <v>0</v>
      </c>
      <c r="AB35" s="223" t="str">
        <f>LOOKUP(AA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5" s="224">
        <f t="shared" si="7"/>
        <v>1</v>
      </c>
      <c r="AD35" s="214"/>
      <c r="AE35" s="225">
        <f t="shared" si="8"/>
        <v>0</v>
      </c>
      <c r="AF35" s="219" t="str">
        <f>LOOKUP(AE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5" s="226">
        <f t="shared" si="9"/>
        <v>1</v>
      </c>
      <c r="AH35" s="146">
        <f t="shared" si="11"/>
        <v>4</v>
      </c>
    </row>
    <row r="36" spans="1:34" x14ac:dyDescent="0.2">
      <c r="A36" s="61">
        <f>'Class List'!A20</f>
        <v>18</v>
      </c>
      <c r="B36" s="71">
        <f>'Class List'!B20</f>
        <v>0</v>
      </c>
      <c r="C36" s="72" t="str">
        <f>'Class List'!C20</f>
        <v>,</v>
      </c>
      <c r="D36" s="72">
        <f>'Class List'!D20</f>
        <v>0</v>
      </c>
      <c r="E36" s="73">
        <f>'Class List'!E20</f>
        <v>0</v>
      </c>
      <c r="F36" s="214"/>
      <c r="G36" s="215"/>
      <c r="H36" s="215"/>
      <c r="I36" s="215"/>
      <c r="J36" s="215"/>
      <c r="K36" s="216"/>
      <c r="L36" s="217">
        <f t="shared" si="12"/>
        <v>0</v>
      </c>
      <c r="M36" s="218">
        <f t="shared" si="1"/>
        <v>0</v>
      </c>
      <c r="N36" s="219" t="str">
        <f>LOOKUP(M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6" s="220">
        <f t="shared" si="2"/>
        <v>0.6</v>
      </c>
      <c r="P36" s="214"/>
      <c r="Q36" s="215"/>
      <c r="R36" s="215"/>
      <c r="S36" s="215"/>
      <c r="T36" s="215"/>
      <c r="U36" s="216"/>
      <c r="V36" s="217">
        <f t="shared" si="13"/>
        <v>0</v>
      </c>
      <c r="W36" s="218">
        <f t="shared" si="4"/>
        <v>0</v>
      </c>
      <c r="X36" s="219" t="str">
        <f>LOOKUP(W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6" s="220">
        <f t="shared" si="5"/>
        <v>1.4</v>
      </c>
      <c r="Z36" s="221"/>
      <c r="AA36" s="222">
        <f t="shared" si="6"/>
        <v>0</v>
      </c>
      <c r="AB36" s="223" t="str">
        <f>LOOKUP(AA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6" s="224">
        <f t="shared" si="7"/>
        <v>1</v>
      </c>
      <c r="AD36" s="214"/>
      <c r="AE36" s="225">
        <f t="shared" si="8"/>
        <v>0</v>
      </c>
      <c r="AF36" s="219" t="str">
        <f>LOOKUP(AE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6" s="226">
        <f t="shared" si="9"/>
        <v>1</v>
      </c>
      <c r="AH36" s="146">
        <f t="shared" si="11"/>
        <v>4</v>
      </c>
    </row>
    <row r="37" spans="1:34" x14ac:dyDescent="0.2">
      <c r="A37" s="61">
        <f>'Class List'!A21</f>
        <v>19</v>
      </c>
      <c r="B37" s="71">
        <f>'Class List'!B21</f>
        <v>0</v>
      </c>
      <c r="C37" s="72" t="str">
        <f>'Class List'!C21</f>
        <v>,</v>
      </c>
      <c r="D37" s="72">
        <f>'Class List'!D21</f>
        <v>0</v>
      </c>
      <c r="E37" s="73">
        <f>'Class List'!E21</f>
        <v>0</v>
      </c>
      <c r="F37" s="214"/>
      <c r="G37" s="215"/>
      <c r="H37" s="215"/>
      <c r="I37" s="215"/>
      <c r="J37" s="215"/>
      <c r="K37" s="216"/>
      <c r="L37" s="217">
        <f t="shared" si="12"/>
        <v>0</v>
      </c>
      <c r="M37" s="218">
        <f t="shared" si="1"/>
        <v>0</v>
      </c>
      <c r="N37" s="219" t="str">
        <f>LOOKUP(M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7" s="220">
        <f t="shared" si="2"/>
        <v>0.6</v>
      </c>
      <c r="P37" s="214"/>
      <c r="Q37" s="215"/>
      <c r="R37" s="215"/>
      <c r="S37" s="215"/>
      <c r="T37" s="215"/>
      <c r="U37" s="216"/>
      <c r="V37" s="217">
        <f t="shared" si="13"/>
        <v>0</v>
      </c>
      <c r="W37" s="218">
        <f t="shared" si="4"/>
        <v>0</v>
      </c>
      <c r="X37" s="219" t="str">
        <f>LOOKUP(W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7" s="220">
        <f t="shared" si="5"/>
        <v>1.4</v>
      </c>
      <c r="Z37" s="221"/>
      <c r="AA37" s="222">
        <f t="shared" si="6"/>
        <v>0</v>
      </c>
      <c r="AB37" s="223" t="str">
        <f>LOOKUP(AA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7" s="224">
        <f t="shared" si="7"/>
        <v>1</v>
      </c>
      <c r="AD37" s="214"/>
      <c r="AE37" s="225">
        <f t="shared" si="8"/>
        <v>0</v>
      </c>
      <c r="AF37" s="219" t="str">
        <f>LOOKUP(AE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7" s="226">
        <f t="shared" si="9"/>
        <v>1</v>
      </c>
      <c r="AH37" s="146">
        <f t="shared" si="11"/>
        <v>4</v>
      </c>
    </row>
    <row r="38" spans="1:34" x14ac:dyDescent="0.2">
      <c r="A38" s="61">
        <f>'Class List'!A22</f>
        <v>20</v>
      </c>
      <c r="B38" s="71">
        <f>'Class List'!B22</f>
        <v>0</v>
      </c>
      <c r="C38" s="72" t="str">
        <f>'Class List'!C22</f>
        <v>,</v>
      </c>
      <c r="D38" s="72">
        <f>'Class List'!D22</f>
        <v>0</v>
      </c>
      <c r="E38" s="73">
        <f>'Class List'!E22</f>
        <v>0</v>
      </c>
      <c r="F38" s="214"/>
      <c r="G38" s="215"/>
      <c r="H38" s="215"/>
      <c r="I38" s="215"/>
      <c r="J38" s="215"/>
      <c r="K38" s="216"/>
      <c r="L38" s="217">
        <f t="shared" si="12"/>
        <v>0</v>
      </c>
      <c r="M38" s="218">
        <f t="shared" si="1"/>
        <v>0</v>
      </c>
      <c r="N38" s="219" t="str">
        <f>LOOKUP(M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8" s="220">
        <f t="shared" si="2"/>
        <v>0.6</v>
      </c>
      <c r="P38" s="214"/>
      <c r="Q38" s="215"/>
      <c r="R38" s="215"/>
      <c r="S38" s="215"/>
      <c r="T38" s="215"/>
      <c r="U38" s="216"/>
      <c r="V38" s="217">
        <f t="shared" si="13"/>
        <v>0</v>
      </c>
      <c r="W38" s="218">
        <f t="shared" si="4"/>
        <v>0</v>
      </c>
      <c r="X38" s="219" t="str">
        <f>LOOKUP(W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8" s="220">
        <f t="shared" si="5"/>
        <v>1.4</v>
      </c>
      <c r="Z38" s="221"/>
      <c r="AA38" s="222">
        <f t="shared" si="6"/>
        <v>0</v>
      </c>
      <c r="AB38" s="223" t="str">
        <f>LOOKUP(AA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8" s="224">
        <f t="shared" si="7"/>
        <v>1</v>
      </c>
      <c r="AD38" s="214"/>
      <c r="AE38" s="225">
        <f t="shared" si="8"/>
        <v>0</v>
      </c>
      <c r="AF38" s="219" t="str">
        <f>LOOKUP(AE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8" s="226">
        <f t="shared" si="9"/>
        <v>1</v>
      </c>
      <c r="AH38" s="146">
        <f t="shared" si="11"/>
        <v>4</v>
      </c>
    </row>
    <row r="39" spans="1:34" x14ac:dyDescent="0.2">
      <c r="A39" s="61">
        <f>'Class List'!A23</f>
        <v>21</v>
      </c>
      <c r="B39" s="71">
        <f>'Class List'!B23</f>
        <v>0</v>
      </c>
      <c r="C39" s="72" t="str">
        <f>'Class List'!C23</f>
        <v>,</v>
      </c>
      <c r="D39" s="72">
        <f>'Class List'!D23</f>
        <v>0</v>
      </c>
      <c r="E39" s="73">
        <f>'Class List'!E23</f>
        <v>0</v>
      </c>
      <c r="F39" s="214"/>
      <c r="G39" s="215"/>
      <c r="H39" s="215"/>
      <c r="I39" s="215"/>
      <c r="J39" s="215"/>
      <c r="K39" s="216"/>
      <c r="L39" s="217">
        <f t="shared" si="12"/>
        <v>0</v>
      </c>
      <c r="M39" s="218">
        <f t="shared" si="1"/>
        <v>0</v>
      </c>
      <c r="N39" s="219" t="str">
        <f>LOOKUP(M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9" s="220">
        <f t="shared" si="2"/>
        <v>0.6</v>
      </c>
      <c r="P39" s="214"/>
      <c r="Q39" s="215"/>
      <c r="R39" s="215"/>
      <c r="S39" s="215"/>
      <c r="T39" s="215"/>
      <c r="U39" s="216"/>
      <c r="V39" s="217">
        <f t="shared" si="13"/>
        <v>0</v>
      </c>
      <c r="W39" s="218">
        <f t="shared" si="4"/>
        <v>0</v>
      </c>
      <c r="X39" s="219" t="str">
        <f>LOOKUP(W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9" s="220">
        <f t="shared" si="5"/>
        <v>1.4</v>
      </c>
      <c r="Z39" s="221"/>
      <c r="AA39" s="222">
        <f t="shared" si="6"/>
        <v>0</v>
      </c>
      <c r="AB39" s="223" t="str">
        <f>LOOKUP(AA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9" s="224">
        <f t="shared" si="7"/>
        <v>1</v>
      </c>
      <c r="AD39" s="214"/>
      <c r="AE39" s="225">
        <f t="shared" si="8"/>
        <v>0</v>
      </c>
      <c r="AF39" s="219" t="str">
        <f>LOOKUP(AE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9" s="226">
        <f t="shared" si="9"/>
        <v>1</v>
      </c>
      <c r="AH39" s="146">
        <f t="shared" si="11"/>
        <v>4</v>
      </c>
    </row>
    <row r="40" spans="1:34" x14ac:dyDescent="0.2">
      <c r="A40" s="61">
        <f>'Class List'!A24</f>
        <v>22</v>
      </c>
      <c r="B40" s="71">
        <f>'Class List'!B24</f>
        <v>0</v>
      </c>
      <c r="C40" s="72" t="str">
        <f>'Class List'!C24</f>
        <v>,</v>
      </c>
      <c r="D40" s="72">
        <f>'Class List'!D24</f>
        <v>0</v>
      </c>
      <c r="E40" s="73">
        <f>'Class List'!E24</f>
        <v>0</v>
      </c>
      <c r="F40" s="214"/>
      <c r="G40" s="215"/>
      <c r="H40" s="215"/>
      <c r="I40" s="215"/>
      <c r="J40" s="215"/>
      <c r="K40" s="216"/>
      <c r="L40" s="217">
        <f t="shared" si="12"/>
        <v>0</v>
      </c>
      <c r="M40" s="218">
        <f t="shared" si="1"/>
        <v>0</v>
      </c>
      <c r="N40" s="219" t="str">
        <f>LOOKUP(M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0" s="220">
        <f t="shared" si="2"/>
        <v>0.6</v>
      </c>
      <c r="P40" s="214"/>
      <c r="Q40" s="215"/>
      <c r="R40" s="215"/>
      <c r="S40" s="215"/>
      <c r="T40" s="215"/>
      <c r="U40" s="216"/>
      <c r="V40" s="217">
        <f t="shared" si="13"/>
        <v>0</v>
      </c>
      <c r="W40" s="218">
        <f t="shared" si="4"/>
        <v>0</v>
      </c>
      <c r="X40" s="219" t="str">
        <f>LOOKUP(W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0" s="220">
        <f t="shared" si="5"/>
        <v>1.4</v>
      </c>
      <c r="Z40" s="221"/>
      <c r="AA40" s="222">
        <f t="shared" si="6"/>
        <v>0</v>
      </c>
      <c r="AB40" s="223" t="str">
        <f>LOOKUP(AA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0" s="224">
        <f t="shared" si="7"/>
        <v>1</v>
      </c>
      <c r="AD40" s="214"/>
      <c r="AE40" s="225">
        <f t="shared" si="8"/>
        <v>0</v>
      </c>
      <c r="AF40" s="219" t="str">
        <f>LOOKUP(AE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0" s="226">
        <f t="shared" si="9"/>
        <v>1</v>
      </c>
      <c r="AH40" s="146">
        <f t="shared" si="11"/>
        <v>4</v>
      </c>
    </row>
    <row r="41" spans="1:34" x14ac:dyDescent="0.2">
      <c r="A41" s="61">
        <f>'Class List'!A25</f>
        <v>23</v>
      </c>
      <c r="B41" s="71">
        <f>'Class List'!B25</f>
        <v>0</v>
      </c>
      <c r="C41" s="72" t="str">
        <f>'Class List'!C25</f>
        <v>,</v>
      </c>
      <c r="D41" s="72">
        <f>'Class List'!D25</f>
        <v>0</v>
      </c>
      <c r="E41" s="73">
        <f>'Class List'!E25</f>
        <v>0</v>
      </c>
      <c r="F41" s="214"/>
      <c r="G41" s="215"/>
      <c r="H41" s="215"/>
      <c r="I41" s="215"/>
      <c r="J41" s="215"/>
      <c r="K41" s="216"/>
      <c r="L41" s="217">
        <f t="shared" si="12"/>
        <v>0</v>
      </c>
      <c r="M41" s="218">
        <f t="shared" si="1"/>
        <v>0</v>
      </c>
      <c r="N41" s="219" t="str">
        <f>LOOKUP(M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1" s="220">
        <f t="shared" si="2"/>
        <v>0.6</v>
      </c>
      <c r="P41" s="214"/>
      <c r="Q41" s="215"/>
      <c r="R41" s="215"/>
      <c r="S41" s="215"/>
      <c r="T41" s="215"/>
      <c r="U41" s="216"/>
      <c r="V41" s="217">
        <f t="shared" si="13"/>
        <v>0</v>
      </c>
      <c r="W41" s="218">
        <f t="shared" si="4"/>
        <v>0</v>
      </c>
      <c r="X41" s="219" t="str">
        <f>LOOKUP(W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1" s="220">
        <f t="shared" si="5"/>
        <v>1.4</v>
      </c>
      <c r="Z41" s="221"/>
      <c r="AA41" s="222">
        <f t="shared" si="6"/>
        <v>0</v>
      </c>
      <c r="AB41" s="223" t="str">
        <f>LOOKUP(AA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1" s="224">
        <f t="shared" si="7"/>
        <v>1</v>
      </c>
      <c r="AD41" s="214"/>
      <c r="AE41" s="225">
        <f t="shared" si="8"/>
        <v>0</v>
      </c>
      <c r="AF41" s="219" t="str">
        <f>LOOKUP(AE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1" s="226">
        <f t="shared" si="9"/>
        <v>1</v>
      </c>
      <c r="AH41" s="146">
        <f t="shared" si="11"/>
        <v>4</v>
      </c>
    </row>
    <row r="42" spans="1:34" x14ac:dyDescent="0.2">
      <c r="A42" s="61">
        <f>'Class List'!A26</f>
        <v>24</v>
      </c>
      <c r="B42" s="71">
        <f>'Class List'!B26</f>
        <v>0</v>
      </c>
      <c r="C42" s="72" t="str">
        <f>'Class List'!C26</f>
        <v>,</v>
      </c>
      <c r="D42" s="72">
        <f>'Class List'!D26</f>
        <v>0</v>
      </c>
      <c r="E42" s="73">
        <f>'Class List'!E26</f>
        <v>0</v>
      </c>
      <c r="F42" s="214"/>
      <c r="G42" s="215"/>
      <c r="H42" s="215"/>
      <c r="I42" s="215"/>
      <c r="J42" s="215"/>
      <c r="K42" s="216"/>
      <c r="L42" s="217">
        <f t="shared" si="12"/>
        <v>0</v>
      </c>
      <c r="M42" s="218">
        <f t="shared" si="1"/>
        <v>0</v>
      </c>
      <c r="N42" s="219" t="str">
        <f>LOOKUP(M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2" s="220">
        <f t="shared" si="2"/>
        <v>0.6</v>
      </c>
      <c r="P42" s="214"/>
      <c r="Q42" s="215"/>
      <c r="R42" s="215"/>
      <c r="S42" s="215"/>
      <c r="T42" s="215"/>
      <c r="U42" s="216"/>
      <c r="V42" s="217">
        <f t="shared" si="13"/>
        <v>0</v>
      </c>
      <c r="W42" s="218">
        <f t="shared" si="4"/>
        <v>0</v>
      </c>
      <c r="X42" s="219" t="str">
        <f>LOOKUP(W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2" s="220">
        <f t="shared" si="5"/>
        <v>1.4</v>
      </c>
      <c r="Z42" s="221"/>
      <c r="AA42" s="222">
        <f t="shared" si="6"/>
        <v>0</v>
      </c>
      <c r="AB42" s="223" t="str">
        <f>LOOKUP(AA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2" s="224">
        <f t="shared" si="7"/>
        <v>1</v>
      </c>
      <c r="AD42" s="214"/>
      <c r="AE42" s="225">
        <f t="shared" si="8"/>
        <v>0</v>
      </c>
      <c r="AF42" s="219" t="str">
        <f>LOOKUP(AE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2" s="226">
        <f t="shared" si="9"/>
        <v>1</v>
      </c>
      <c r="AH42" s="146">
        <f t="shared" si="11"/>
        <v>4</v>
      </c>
    </row>
    <row r="43" spans="1:34" x14ac:dyDescent="0.2">
      <c r="A43" s="61">
        <f>'Class List'!A27</f>
        <v>25</v>
      </c>
      <c r="B43" s="71">
        <f>'Class List'!B27</f>
        <v>0</v>
      </c>
      <c r="C43" s="72" t="str">
        <f>'Class List'!C27</f>
        <v>,</v>
      </c>
      <c r="D43" s="72">
        <f>'Class List'!D27</f>
        <v>0</v>
      </c>
      <c r="E43" s="73">
        <f>'Class List'!E27</f>
        <v>0</v>
      </c>
      <c r="F43" s="214"/>
      <c r="G43" s="215"/>
      <c r="H43" s="215"/>
      <c r="I43" s="215"/>
      <c r="J43" s="215"/>
      <c r="K43" s="216"/>
      <c r="L43" s="217">
        <f t="shared" si="12"/>
        <v>0</v>
      </c>
      <c r="M43" s="218">
        <f t="shared" si="1"/>
        <v>0</v>
      </c>
      <c r="N43" s="219" t="str">
        <f>LOOKUP(M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3" s="220">
        <f t="shared" si="2"/>
        <v>0.6</v>
      </c>
      <c r="P43" s="214"/>
      <c r="Q43" s="215"/>
      <c r="R43" s="215"/>
      <c r="S43" s="215"/>
      <c r="T43" s="215"/>
      <c r="U43" s="216"/>
      <c r="V43" s="217">
        <f t="shared" si="13"/>
        <v>0</v>
      </c>
      <c r="W43" s="218">
        <f t="shared" si="4"/>
        <v>0</v>
      </c>
      <c r="X43" s="219" t="str">
        <f>LOOKUP(W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3" s="220">
        <f t="shared" si="5"/>
        <v>1.4</v>
      </c>
      <c r="Z43" s="221"/>
      <c r="AA43" s="222">
        <f t="shared" si="6"/>
        <v>0</v>
      </c>
      <c r="AB43" s="223" t="str">
        <f>LOOKUP(AA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3" s="224">
        <f t="shared" si="7"/>
        <v>1</v>
      </c>
      <c r="AD43" s="214"/>
      <c r="AE43" s="225">
        <f t="shared" si="8"/>
        <v>0</v>
      </c>
      <c r="AF43" s="219" t="str">
        <f>LOOKUP(AE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3" s="226">
        <f t="shared" si="9"/>
        <v>1</v>
      </c>
      <c r="AH43" s="146">
        <f t="shared" si="11"/>
        <v>4</v>
      </c>
    </row>
    <row r="44" spans="1:34" x14ac:dyDescent="0.2">
      <c r="A44" s="61">
        <f>'Class List'!A28</f>
        <v>26</v>
      </c>
      <c r="B44" s="71">
        <f>'Class List'!B28</f>
        <v>0</v>
      </c>
      <c r="C44" s="72" t="str">
        <f>'Class List'!C28</f>
        <v>,</v>
      </c>
      <c r="D44" s="72">
        <f>'Class List'!D28</f>
        <v>0</v>
      </c>
      <c r="E44" s="73">
        <f>'Class List'!E28</f>
        <v>0</v>
      </c>
      <c r="F44" s="214"/>
      <c r="G44" s="215"/>
      <c r="H44" s="215"/>
      <c r="I44" s="215"/>
      <c r="J44" s="215"/>
      <c r="K44" s="216"/>
      <c r="L44" s="217">
        <f t="shared" si="12"/>
        <v>0</v>
      </c>
      <c r="M44" s="218">
        <f t="shared" si="1"/>
        <v>0</v>
      </c>
      <c r="N44" s="219" t="str">
        <f>LOOKUP(M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4" s="220">
        <f t="shared" si="2"/>
        <v>0.6</v>
      </c>
      <c r="P44" s="214"/>
      <c r="Q44" s="215"/>
      <c r="R44" s="215"/>
      <c r="S44" s="215"/>
      <c r="T44" s="215"/>
      <c r="U44" s="216"/>
      <c r="V44" s="217">
        <f t="shared" si="13"/>
        <v>0</v>
      </c>
      <c r="W44" s="218">
        <f t="shared" si="4"/>
        <v>0</v>
      </c>
      <c r="X44" s="219" t="str">
        <f>LOOKUP(W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4" s="220">
        <f t="shared" si="5"/>
        <v>1.4</v>
      </c>
      <c r="Z44" s="221"/>
      <c r="AA44" s="222">
        <f t="shared" si="6"/>
        <v>0</v>
      </c>
      <c r="AB44" s="223" t="str">
        <f>LOOKUP(AA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4" s="224">
        <f t="shared" si="7"/>
        <v>1</v>
      </c>
      <c r="AD44" s="214"/>
      <c r="AE44" s="225">
        <f t="shared" si="8"/>
        <v>0</v>
      </c>
      <c r="AF44" s="219" t="str">
        <f>LOOKUP(AE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4" s="226">
        <f t="shared" si="9"/>
        <v>1</v>
      </c>
      <c r="AH44" s="146">
        <f t="shared" si="11"/>
        <v>4</v>
      </c>
    </row>
    <row r="45" spans="1:34" x14ac:dyDescent="0.2">
      <c r="A45" s="61">
        <f>'Class List'!A29</f>
        <v>27</v>
      </c>
      <c r="B45" s="71">
        <f>'Class List'!B29</f>
        <v>0</v>
      </c>
      <c r="C45" s="72" t="str">
        <f>'Class List'!C29</f>
        <v>,</v>
      </c>
      <c r="D45" s="72">
        <f>'Class List'!D29</f>
        <v>0</v>
      </c>
      <c r="E45" s="73">
        <f>'Class List'!E29</f>
        <v>0</v>
      </c>
      <c r="F45" s="214"/>
      <c r="G45" s="215"/>
      <c r="H45" s="215"/>
      <c r="I45" s="215"/>
      <c r="J45" s="215"/>
      <c r="K45" s="216"/>
      <c r="L45" s="217">
        <f t="shared" si="12"/>
        <v>0</v>
      </c>
      <c r="M45" s="218">
        <f t="shared" si="1"/>
        <v>0</v>
      </c>
      <c r="N45" s="219" t="str">
        <f>LOOKUP(M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5" s="220">
        <f t="shared" si="2"/>
        <v>0.6</v>
      </c>
      <c r="P45" s="214"/>
      <c r="Q45" s="215"/>
      <c r="R45" s="215"/>
      <c r="S45" s="215"/>
      <c r="T45" s="215"/>
      <c r="U45" s="216"/>
      <c r="V45" s="217">
        <f t="shared" si="13"/>
        <v>0</v>
      </c>
      <c r="W45" s="218">
        <f t="shared" si="4"/>
        <v>0</v>
      </c>
      <c r="X45" s="219" t="str">
        <f>LOOKUP(W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5" s="220">
        <f t="shared" si="5"/>
        <v>1.4</v>
      </c>
      <c r="Z45" s="221"/>
      <c r="AA45" s="222">
        <f t="shared" si="6"/>
        <v>0</v>
      </c>
      <c r="AB45" s="223" t="str">
        <f>LOOKUP(AA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5" s="224">
        <f t="shared" si="7"/>
        <v>1</v>
      </c>
      <c r="AD45" s="214"/>
      <c r="AE45" s="225">
        <f t="shared" si="8"/>
        <v>0</v>
      </c>
      <c r="AF45" s="219" t="str">
        <f>LOOKUP(AE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5" s="226">
        <f t="shared" si="9"/>
        <v>1</v>
      </c>
      <c r="AH45" s="146">
        <f t="shared" si="11"/>
        <v>4</v>
      </c>
    </row>
    <row r="46" spans="1:34" x14ac:dyDescent="0.2">
      <c r="A46" s="61">
        <f>'Class List'!A30</f>
        <v>28</v>
      </c>
      <c r="B46" s="71">
        <f>'Class List'!B30</f>
        <v>0</v>
      </c>
      <c r="C46" s="72" t="str">
        <f>'Class List'!C30</f>
        <v>,</v>
      </c>
      <c r="D46" s="72">
        <f>'Class List'!D30</f>
        <v>0</v>
      </c>
      <c r="E46" s="73">
        <f>'Class List'!E30</f>
        <v>0</v>
      </c>
      <c r="F46" s="214"/>
      <c r="G46" s="215"/>
      <c r="H46" s="215"/>
      <c r="I46" s="215"/>
      <c r="J46" s="215"/>
      <c r="K46" s="216"/>
      <c r="L46" s="217">
        <f t="shared" si="12"/>
        <v>0</v>
      </c>
      <c r="M46" s="218">
        <f t="shared" si="1"/>
        <v>0</v>
      </c>
      <c r="N46" s="219" t="str">
        <f>LOOKUP(M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6" s="220">
        <f t="shared" si="2"/>
        <v>0.6</v>
      </c>
      <c r="P46" s="214"/>
      <c r="Q46" s="215"/>
      <c r="R46" s="215"/>
      <c r="S46" s="215"/>
      <c r="T46" s="215"/>
      <c r="U46" s="216"/>
      <c r="V46" s="217">
        <f t="shared" si="13"/>
        <v>0</v>
      </c>
      <c r="W46" s="218">
        <f t="shared" si="4"/>
        <v>0</v>
      </c>
      <c r="X46" s="219" t="str">
        <f>LOOKUP(W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6" s="220">
        <f t="shared" si="5"/>
        <v>1.4</v>
      </c>
      <c r="Z46" s="221"/>
      <c r="AA46" s="222">
        <f t="shared" si="6"/>
        <v>0</v>
      </c>
      <c r="AB46" s="223" t="str">
        <f>LOOKUP(AA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6" s="224">
        <f t="shared" si="7"/>
        <v>1</v>
      </c>
      <c r="AD46" s="214"/>
      <c r="AE46" s="225">
        <f t="shared" si="8"/>
        <v>0</v>
      </c>
      <c r="AF46" s="219" t="str">
        <f>LOOKUP(AE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6" s="226">
        <f t="shared" si="9"/>
        <v>1</v>
      </c>
      <c r="AH46" s="146">
        <f t="shared" si="11"/>
        <v>4</v>
      </c>
    </row>
    <row r="47" spans="1:34" x14ac:dyDescent="0.2">
      <c r="A47" s="61">
        <f>'Class List'!A31</f>
        <v>29</v>
      </c>
      <c r="B47" s="71">
        <f>'Class List'!B31</f>
        <v>0</v>
      </c>
      <c r="C47" s="72" t="str">
        <f>'Class List'!C31</f>
        <v>,</v>
      </c>
      <c r="D47" s="72">
        <f>'Class List'!D31</f>
        <v>0</v>
      </c>
      <c r="E47" s="73">
        <f>'Class List'!E31</f>
        <v>0</v>
      </c>
      <c r="F47" s="214"/>
      <c r="G47" s="215"/>
      <c r="H47" s="215"/>
      <c r="I47" s="215"/>
      <c r="J47" s="215"/>
      <c r="K47" s="216"/>
      <c r="L47" s="217">
        <f t="shared" si="12"/>
        <v>0</v>
      </c>
      <c r="M47" s="218">
        <f t="shared" si="1"/>
        <v>0</v>
      </c>
      <c r="N47" s="219" t="str">
        <f>LOOKUP(M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7" s="220">
        <f t="shared" si="2"/>
        <v>0.6</v>
      </c>
      <c r="P47" s="214"/>
      <c r="Q47" s="215"/>
      <c r="R47" s="215"/>
      <c r="S47" s="215"/>
      <c r="T47" s="215"/>
      <c r="U47" s="216"/>
      <c r="V47" s="217">
        <f t="shared" si="13"/>
        <v>0</v>
      </c>
      <c r="W47" s="218">
        <f t="shared" si="4"/>
        <v>0</v>
      </c>
      <c r="X47" s="219" t="str">
        <f>LOOKUP(W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7" s="220">
        <f t="shared" si="5"/>
        <v>1.4</v>
      </c>
      <c r="Z47" s="221"/>
      <c r="AA47" s="222">
        <f t="shared" si="6"/>
        <v>0</v>
      </c>
      <c r="AB47" s="223" t="str">
        <f>LOOKUP(AA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7" s="224">
        <f t="shared" si="7"/>
        <v>1</v>
      </c>
      <c r="AD47" s="214"/>
      <c r="AE47" s="225">
        <f t="shared" si="8"/>
        <v>0</v>
      </c>
      <c r="AF47" s="219" t="str">
        <f>LOOKUP(AE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7" s="226">
        <f t="shared" si="9"/>
        <v>1</v>
      </c>
      <c r="AH47" s="146">
        <f t="shared" si="11"/>
        <v>4</v>
      </c>
    </row>
    <row r="48" spans="1:34" x14ac:dyDescent="0.2">
      <c r="A48" s="61">
        <f>'Class List'!A32</f>
        <v>30</v>
      </c>
      <c r="B48" s="71">
        <f>'Class List'!B32</f>
        <v>0</v>
      </c>
      <c r="C48" s="72" t="str">
        <f>'Class List'!C32</f>
        <v>,</v>
      </c>
      <c r="D48" s="72">
        <f>'Class List'!D32</f>
        <v>0</v>
      </c>
      <c r="E48" s="73">
        <f>'Class List'!E32</f>
        <v>0</v>
      </c>
      <c r="F48" s="214"/>
      <c r="G48" s="215"/>
      <c r="H48" s="215"/>
      <c r="I48" s="215"/>
      <c r="J48" s="215"/>
      <c r="K48" s="216"/>
      <c r="L48" s="217">
        <f t="shared" si="12"/>
        <v>0</v>
      </c>
      <c r="M48" s="218">
        <f t="shared" si="1"/>
        <v>0</v>
      </c>
      <c r="N48" s="219" t="str">
        <f>LOOKUP(M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8" s="220">
        <f t="shared" si="2"/>
        <v>0.6</v>
      </c>
      <c r="P48" s="214"/>
      <c r="Q48" s="215"/>
      <c r="R48" s="215"/>
      <c r="S48" s="215"/>
      <c r="T48" s="215"/>
      <c r="U48" s="216"/>
      <c r="V48" s="217">
        <f t="shared" si="13"/>
        <v>0</v>
      </c>
      <c r="W48" s="218">
        <f t="shared" si="4"/>
        <v>0</v>
      </c>
      <c r="X48" s="219" t="str">
        <f>LOOKUP(W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8" s="220">
        <f t="shared" si="5"/>
        <v>1.4</v>
      </c>
      <c r="Z48" s="221"/>
      <c r="AA48" s="222">
        <f t="shared" si="6"/>
        <v>0</v>
      </c>
      <c r="AB48" s="223" t="str">
        <f>LOOKUP(AA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8" s="224">
        <f t="shared" si="7"/>
        <v>1</v>
      </c>
      <c r="AD48" s="214"/>
      <c r="AE48" s="225">
        <f t="shared" si="8"/>
        <v>0</v>
      </c>
      <c r="AF48" s="219" t="str">
        <f>LOOKUP(AE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8" s="226">
        <f t="shared" si="9"/>
        <v>1</v>
      </c>
      <c r="AH48" s="146">
        <f t="shared" si="11"/>
        <v>4</v>
      </c>
    </row>
    <row r="49" spans="1:34" x14ac:dyDescent="0.2">
      <c r="A49" s="61">
        <f>'Class List'!A33</f>
        <v>31</v>
      </c>
      <c r="B49" s="71">
        <f>'Class List'!B33</f>
        <v>0</v>
      </c>
      <c r="C49" s="72" t="str">
        <f>'Class List'!C33</f>
        <v>,</v>
      </c>
      <c r="D49" s="72">
        <f>'Class List'!D33</f>
        <v>0</v>
      </c>
      <c r="E49" s="73">
        <f>'Class List'!E33</f>
        <v>0</v>
      </c>
      <c r="F49" s="214"/>
      <c r="G49" s="215"/>
      <c r="H49" s="215"/>
      <c r="I49" s="215"/>
      <c r="J49" s="215"/>
      <c r="K49" s="216"/>
      <c r="L49" s="217">
        <f t="shared" si="12"/>
        <v>0</v>
      </c>
      <c r="M49" s="218">
        <f t="shared" si="1"/>
        <v>0</v>
      </c>
      <c r="N49" s="219" t="str">
        <f>LOOKUP(M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9" s="220">
        <f t="shared" si="2"/>
        <v>0.6</v>
      </c>
      <c r="P49" s="214"/>
      <c r="Q49" s="215"/>
      <c r="R49" s="215"/>
      <c r="S49" s="215"/>
      <c r="T49" s="215"/>
      <c r="U49" s="216"/>
      <c r="V49" s="217">
        <f t="shared" si="13"/>
        <v>0</v>
      </c>
      <c r="W49" s="218">
        <f t="shared" si="4"/>
        <v>0</v>
      </c>
      <c r="X49" s="219" t="str">
        <f>LOOKUP(W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9" s="220">
        <f t="shared" si="5"/>
        <v>1.4</v>
      </c>
      <c r="Z49" s="221"/>
      <c r="AA49" s="222">
        <f t="shared" si="6"/>
        <v>0</v>
      </c>
      <c r="AB49" s="223" t="str">
        <f>LOOKUP(AA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9" s="224">
        <f t="shared" si="7"/>
        <v>1</v>
      </c>
      <c r="AD49" s="214"/>
      <c r="AE49" s="225">
        <f t="shared" si="8"/>
        <v>0</v>
      </c>
      <c r="AF49" s="219" t="str">
        <f>LOOKUP(AE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9" s="226">
        <f t="shared" si="9"/>
        <v>1</v>
      </c>
      <c r="AH49" s="146">
        <f t="shared" si="11"/>
        <v>4</v>
      </c>
    </row>
    <row r="50" spans="1:34" x14ac:dyDescent="0.2">
      <c r="A50" s="61">
        <f>'Class List'!A34</f>
        <v>32</v>
      </c>
      <c r="B50" s="71">
        <f>'Class List'!B34</f>
        <v>0</v>
      </c>
      <c r="C50" s="72" t="str">
        <f>'Class List'!C34</f>
        <v>,</v>
      </c>
      <c r="D50" s="72">
        <f>'Class List'!D34</f>
        <v>0</v>
      </c>
      <c r="E50" s="73">
        <f>'Class List'!E34</f>
        <v>0</v>
      </c>
      <c r="F50" s="214"/>
      <c r="G50" s="215"/>
      <c r="H50" s="215"/>
      <c r="I50" s="215"/>
      <c r="J50" s="215"/>
      <c r="K50" s="216"/>
      <c r="L50" s="217">
        <f t="shared" si="12"/>
        <v>0</v>
      </c>
      <c r="M50" s="218">
        <f t="shared" si="1"/>
        <v>0</v>
      </c>
      <c r="N50" s="219" t="str">
        <f>LOOKUP(M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0" s="220">
        <f t="shared" si="2"/>
        <v>0.6</v>
      </c>
      <c r="P50" s="214"/>
      <c r="Q50" s="215"/>
      <c r="R50" s="215"/>
      <c r="S50" s="215"/>
      <c r="T50" s="215"/>
      <c r="U50" s="216"/>
      <c r="V50" s="217">
        <f t="shared" si="13"/>
        <v>0</v>
      </c>
      <c r="W50" s="218">
        <f t="shared" si="4"/>
        <v>0</v>
      </c>
      <c r="X50" s="219" t="str">
        <f>LOOKUP(W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0" s="220">
        <f t="shared" si="5"/>
        <v>1.4</v>
      </c>
      <c r="Z50" s="221"/>
      <c r="AA50" s="222">
        <f t="shared" si="6"/>
        <v>0</v>
      </c>
      <c r="AB50" s="223" t="str">
        <f>LOOKUP(AA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0" s="224">
        <f t="shared" si="7"/>
        <v>1</v>
      </c>
      <c r="AD50" s="214"/>
      <c r="AE50" s="225">
        <f t="shared" si="8"/>
        <v>0</v>
      </c>
      <c r="AF50" s="219" t="str">
        <f>LOOKUP(AE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0" s="226">
        <f t="shared" si="9"/>
        <v>1</v>
      </c>
      <c r="AH50" s="146">
        <f t="shared" si="11"/>
        <v>4</v>
      </c>
    </row>
    <row r="51" spans="1:34" x14ac:dyDescent="0.2">
      <c r="A51" s="61">
        <f>'Class List'!A35</f>
        <v>33</v>
      </c>
      <c r="B51" s="71">
        <f>'Class List'!B35</f>
        <v>0</v>
      </c>
      <c r="C51" s="72" t="str">
        <f>'Class List'!C35</f>
        <v>,</v>
      </c>
      <c r="D51" s="72">
        <f>'Class List'!D35</f>
        <v>0</v>
      </c>
      <c r="E51" s="73">
        <f>'Class List'!E35</f>
        <v>0</v>
      </c>
      <c r="F51" s="214"/>
      <c r="G51" s="215"/>
      <c r="H51" s="215"/>
      <c r="I51" s="215"/>
      <c r="J51" s="215"/>
      <c r="K51" s="216"/>
      <c r="L51" s="217">
        <f t="shared" si="12"/>
        <v>0</v>
      </c>
      <c r="M51" s="218">
        <f t="shared" si="1"/>
        <v>0</v>
      </c>
      <c r="N51" s="219" t="str">
        <f>LOOKUP(M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1" s="220">
        <f t="shared" si="2"/>
        <v>0.6</v>
      </c>
      <c r="P51" s="214"/>
      <c r="Q51" s="215"/>
      <c r="R51" s="215"/>
      <c r="S51" s="215"/>
      <c r="T51" s="215"/>
      <c r="U51" s="216"/>
      <c r="V51" s="217">
        <f t="shared" si="13"/>
        <v>0</v>
      </c>
      <c r="W51" s="218">
        <f t="shared" si="4"/>
        <v>0</v>
      </c>
      <c r="X51" s="219" t="str">
        <f>LOOKUP(W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1" s="220">
        <f t="shared" si="5"/>
        <v>1.4</v>
      </c>
      <c r="Z51" s="221"/>
      <c r="AA51" s="222">
        <f t="shared" si="6"/>
        <v>0</v>
      </c>
      <c r="AB51" s="223" t="str">
        <f>LOOKUP(AA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1" s="224">
        <f t="shared" si="7"/>
        <v>1</v>
      </c>
      <c r="AD51" s="214"/>
      <c r="AE51" s="225">
        <f t="shared" si="8"/>
        <v>0</v>
      </c>
      <c r="AF51" s="219" t="str">
        <f>LOOKUP(AE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1" s="226">
        <f t="shared" si="9"/>
        <v>1</v>
      </c>
      <c r="AH51" s="146">
        <f t="shared" si="11"/>
        <v>4</v>
      </c>
    </row>
    <row r="52" spans="1:34" x14ac:dyDescent="0.2">
      <c r="A52" s="61">
        <f>'Class List'!A36</f>
        <v>34</v>
      </c>
      <c r="B52" s="71">
        <f>'Class List'!B36</f>
        <v>0</v>
      </c>
      <c r="C52" s="72" t="str">
        <f>'Class List'!C36</f>
        <v>,</v>
      </c>
      <c r="D52" s="72">
        <f>'Class List'!D36</f>
        <v>0</v>
      </c>
      <c r="E52" s="73">
        <f>'Class List'!E36</f>
        <v>0</v>
      </c>
      <c r="F52" s="214"/>
      <c r="G52" s="215"/>
      <c r="H52" s="215"/>
      <c r="I52" s="215"/>
      <c r="J52" s="215"/>
      <c r="K52" s="216"/>
      <c r="L52" s="217">
        <f t="shared" si="12"/>
        <v>0</v>
      </c>
      <c r="M52" s="218">
        <f t="shared" si="1"/>
        <v>0</v>
      </c>
      <c r="N52" s="219" t="str">
        <f>LOOKUP(M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2" s="220">
        <f t="shared" si="2"/>
        <v>0.6</v>
      </c>
      <c r="P52" s="214"/>
      <c r="Q52" s="215"/>
      <c r="R52" s="215"/>
      <c r="S52" s="215"/>
      <c r="T52" s="215"/>
      <c r="U52" s="216"/>
      <c r="V52" s="217">
        <f t="shared" si="13"/>
        <v>0</v>
      </c>
      <c r="W52" s="218">
        <f t="shared" si="4"/>
        <v>0</v>
      </c>
      <c r="X52" s="219" t="str">
        <f>LOOKUP(W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2" s="220">
        <f t="shared" si="5"/>
        <v>1.4</v>
      </c>
      <c r="Z52" s="221"/>
      <c r="AA52" s="222">
        <f t="shared" si="6"/>
        <v>0</v>
      </c>
      <c r="AB52" s="223" t="str">
        <f>LOOKUP(AA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2" s="224">
        <f t="shared" si="7"/>
        <v>1</v>
      </c>
      <c r="AD52" s="214"/>
      <c r="AE52" s="225">
        <f t="shared" si="8"/>
        <v>0</v>
      </c>
      <c r="AF52" s="219" t="str">
        <f>LOOKUP(AE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2" s="226">
        <f t="shared" si="9"/>
        <v>1</v>
      </c>
      <c r="AH52" s="146">
        <f t="shared" si="11"/>
        <v>4</v>
      </c>
    </row>
    <row r="53" spans="1:34" x14ac:dyDescent="0.2">
      <c r="A53" s="61">
        <f>'Class List'!A37</f>
        <v>35</v>
      </c>
      <c r="B53" s="71">
        <f>'Class List'!B37</f>
        <v>0</v>
      </c>
      <c r="C53" s="72" t="str">
        <f>'Class List'!C37</f>
        <v>,</v>
      </c>
      <c r="D53" s="72">
        <f>'Class List'!D37</f>
        <v>0</v>
      </c>
      <c r="E53" s="73">
        <f>'Class List'!E37</f>
        <v>0</v>
      </c>
      <c r="F53" s="214"/>
      <c r="G53" s="215"/>
      <c r="H53" s="215"/>
      <c r="I53" s="215"/>
      <c r="J53" s="215"/>
      <c r="K53" s="216"/>
      <c r="L53" s="217">
        <f t="shared" si="12"/>
        <v>0</v>
      </c>
      <c r="M53" s="218">
        <f t="shared" si="1"/>
        <v>0</v>
      </c>
      <c r="N53" s="219" t="str">
        <f>LOOKUP(M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3" s="220">
        <f t="shared" si="2"/>
        <v>0.6</v>
      </c>
      <c r="P53" s="214"/>
      <c r="Q53" s="215"/>
      <c r="R53" s="215"/>
      <c r="S53" s="215"/>
      <c r="T53" s="215"/>
      <c r="U53" s="216"/>
      <c r="V53" s="217">
        <f t="shared" si="13"/>
        <v>0</v>
      </c>
      <c r="W53" s="218">
        <f t="shared" si="4"/>
        <v>0</v>
      </c>
      <c r="X53" s="219" t="str">
        <f>LOOKUP(W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3" s="220">
        <f t="shared" si="5"/>
        <v>1.4</v>
      </c>
      <c r="Z53" s="221"/>
      <c r="AA53" s="222">
        <f t="shared" si="6"/>
        <v>0</v>
      </c>
      <c r="AB53" s="223" t="str">
        <f>LOOKUP(AA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3" s="224">
        <f t="shared" si="7"/>
        <v>1</v>
      </c>
      <c r="AD53" s="214"/>
      <c r="AE53" s="225">
        <f t="shared" si="8"/>
        <v>0</v>
      </c>
      <c r="AF53" s="219" t="str">
        <f>LOOKUP(AE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3" s="226">
        <f t="shared" si="9"/>
        <v>1</v>
      </c>
      <c r="AH53" s="146">
        <f t="shared" si="11"/>
        <v>4</v>
      </c>
    </row>
    <row r="54" spans="1:34" x14ac:dyDescent="0.2">
      <c r="A54" s="61">
        <f>'Class List'!A38</f>
        <v>36</v>
      </c>
      <c r="B54" s="71">
        <f>'Class List'!B38</f>
        <v>0</v>
      </c>
      <c r="C54" s="72" t="str">
        <f>'Class List'!C38</f>
        <v>,</v>
      </c>
      <c r="D54" s="72">
        <f>'Class List'!D38</f>
        <v>0</v>
      </c>
      <c r="E54" s="73">
        <f>'Class List'!E38</f>
        <v>0</v>
      </c>
      <c r="F54" s="214"/>
      <c r="G54" s="215"/>
      <c r="H54" s="215"/>
      <c r="I54" s="215"/>
      <c r="J54" s="215"/>
      <c r="K54" s="216"/>
      <c r="L54" s="217">
        <f t="shared" si="12"/>
        <v>0</v>
      </c>
      <c r="M54" s="218">
        <f t="shared" si="1"/>
        <v>0</v>
      </c>
      <c r="N54" s="219" t="str">
        <f>LOOKUP(M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4" s="220">
        <f t="shared" si="2"/>
        <v>0.6</v>
      </c>
      <c r="P54" s="214"/>
      <c r="Q54" s="215"/>
      <c r="R54" s="215"/>
      <c r="S54" s="215"/>
      <c r="T54" s="215"/>
      <c r="U54" s="216"/>
      <c r="V54" s="217">
        <f t="shared" si="13"/>
        <v>0</v>
      </c>
      <c r="W54" s="218">
        <f t="shared" si="4"/>
        <v>0</v>
      </c>
      <c r="X54" s="219" t="str">
        <f>LOOKUP(W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4" s="220">
        <f t="shared" si="5"/>
        <v>1.4</v>
      </c>
      <c r="Z54" s="221"/>
      <c r="AA54" s="222">
        <f t="shared" si="6"/>
        <v>0</v>
      </c>
      <c r="AB54" s="223" t="str">
        <f>LOOKUP(AA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4" s="224">
        <f t="shared" si="7"/>
        <v>1</v>
      </c>
      <c r="AD54" s="214"/>
      <c r="AE54" s="225">
        <f t="shared" si="8"/>
        <v>0</v>
      </c>
      <c r="AF54" s="219" t="str">
        <f>LOOKUP(AE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4" s="226">
        <f t="shared" si="9"/>
        <v>1</v>
      </c>
      <c r="AH54" s="146">
        <f t="shared" si="11"/>
        <v>4</v>
      </c>
    </row>
    <row r="55" spans="1:34" x14ac:dyDescent="0.2">
      <c r="A55" s="61">
        <f>'Class List'!A39</f>
        <v>37</v>
      </c>
      <c r="B55" s="71">
        <f>'Class List'!B39</f>
        <v>0</v>
      </c>
      <c r="C55" s="72" t="str">
        <f>'Class List'!C39</f>
        <v>,</v>
      </c>
      <c r="D55" s="72">
        <f>'Class List'!D39</f>
        <v>0</v>
      </c>
      <c r="E55" s="73">
        <f>'Class List'!E39</f>
        <v>0</v>
      </c>
      <c r="F55" s="214"/>
      <c r="G55" s="215"/>
      <c r="H55" s="215"/>
      <c r="I55" s="215"/>
      <c r="J55" s="215"/>
      <c r="K55" s="216"/>
      <c r="L55" s="217">
        <f t="shared" si="12"/>
        <v>0</v>
      </c>
      <c r="M55" s="218">
        <f t="shared" si="1"/>
        <v>0</v>
      </c>
      <c r="N55" s="219" t="str">
        <f>LOOKUP(M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5" s="220">
        <f t="shared" si="2"/>
        <v>0.6</v>
      </c>
      <c r="P55" s="214"/>
      <c r="Q55" s="215"/>
      <c r="R55" s="215"/>
      <c r="S55" s="215"/>
      <c r="T55" s="215"/>
      <c r="U55" s="216"/>
      <c r="V55" s="217">
        <f t="shared" si="13"/>
        <v>0</v>
      </c>
      <c r="W55" s="218">
        <f t="shared" si="4"/>
        <v>0</v>
      </c>
      <c r="X55" s="219" t="str">
        <f>LOOKUP(W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5" s="220">
        <f t="shared" si="5"/>
        <v>1.4</v>
      </c>
      <c r="Z55" s="221"/>
      <c r="AA55" s="222">
        <f t="shared" si="6"/>
        <v>0</v>
      </c>
      <c r="AB55" s="223" t="str">
        <f>LOOKUP(AA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5" s="224">
        <f t="shared" si="7"/>
        <v>1</v>
      </c>
      <c r="AD55" s="214"/>
      <c r="AE55" s="225">
        <f t="shared" si="8"/>
        <v>0</v>
      </c>
      <c r="AF55" s="219" t="str">
        <f>LOOKUP(AE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5" s="226">
        <f t="shared" si="9"/>
        <v>1</v>
      </c>
      <c r="AH55" s="146">
        <f t="shared" si="11"/>
        <v>4</v>
      </c>
    </row>
    <row r="56" spans="1:34" x14ac:dyDescent="0.2">
      <c r="A56" s="61">
        <f>'Class List'!A40</f>
        <v>38</v>
      </c>
      <c r="B56" s="71">
        <f>'Class List'!B40</f>
        <v>0</v>
      </c>
      <c r="C56" s="72" t="str">
        <f>'Class List'!C40</f>
        <v>,</v>
      </c>
      <c r="D56" s="72">
        <f>'Class List'!D40</f>
        <v>0</v>
      </c>
      <c r="E56" s="73">
        <f>'Class List'!E40</f>
        <v>0</v>
      </c>
      <c r="F56" s="214"/>
      <c r="G56" s="215"/>
      <c r="H56" s="215"/>
      <c r="I56" s="215"/>
      <c r="J56" s="215"/>
      <c r="K56" s="216"/>
      <c r="L56" s="217">
        <f t="shared" si="12"/>
        <v>0</v>
      </c>
      <c r="M56" s="218">
        <f t="shared" si="1"/>
        <v>0</v>
      </c>
      <c r="N56" s="219" t="str">
        <f>LOOKUP(M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6" s="220">
        <f t="shared" si="2"/>
        <v>0.6</v>
      </c>
      <c r="P56" s="214"/>
      <c r="Q56" s="215"/>
      <c r="R56" s="215"/>
      <c r="S56" s="215"/>
      <c r="T56" s="215"/>
      <c r="U56" s="216"/>
      <c r="V56" s="217">
        <f t="shared" si="13"/>
        <v>0</v>
      </c>
      <c r="W56" s="218">
        <f t="shared" si="4"/>
        <v>0</v>
      </c>
      <c r="X56" s="219" t="str">
        <f>LOOKUP(W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6" s="220">
        <f t="shared" si="5"/>
        <v>1.4</v>
      </c>
      <c r="Z56" s="221"/>
      <c r="AA56" s="222">
        <f t="shared" si="6"/>
        <v>0</v>
      </c>
      <c r="AB56" s="223" t="str">
        <f>LOOKUP(AA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6" s="224">
        <f t="shared" si="7"/>
        <v>1</v>
      </c>
      <c r="AD56" s="214"/>
      <c r="AE56" s="225">
        <f t="shared" si="8"/>
        <v>0</v>
      </c>
      <c r="AF56" s="219" t="str">
        <f>LOOKUP(AE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6" s="226">
        <f t="shared" si="9"/>
        <v>1</v>
      </c>
      <c r="AH56" s="146">
        <f t="shared" si="11"/>
        <v>4</v>
      </c>
    </row>
    <row r="57" spans="1:34" x14ac:dyDescent="0.2">
      <c r="A57" s="61">
        <f>'Class List'!A41</f>
        <v>39</v>
      </c>
      <c r="B57" s="71">
        <f>'Class List'!B41</f>
        <v>0</v>
      </c>
      <c r="C57" s="72" t="str">
        <f>'Class List'!C41</f>
        <v>,</v>
      </c>
      <c r="D57" s="72">
        <f>'Class List'!D41</f>
        <v>0</v>
      </c>
      <c r="E57" s="73">
        <f>'Class List'!E41</f>
        <v>0</v>
      </c>
      <c r="F57" s="214"/>
      <c r="G57" s="215"/>
      <c r="H57" s="215"/>
      <c r="I57" s="215"/>
      <c r="J57" s="215"/>
      <c r="K57" s="216"/>
      <c r="L57" s="217">
        <f t="shared" si="12"/>
        <v>0</v>
      </c>
      <c r="M57" s="218">
        <f t="shared" si="1"/>
        <v>0</v>
      </c>
      <c r="N57" s="219" t="str">
        <f>LOOKUP(M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7" s="220">
        <f t="shared" si="2"/>
        <v>0.6</v>
      </c>
      <c r="P57" s="214"/>
      <c r="Q57" s="215"/>
      <c r="R57" s="215"/>
      <c r="S57" s="215"/>
      <c r="T57" s="215"/>
      <c r="U57" s="216"/>
      <c r="V57" s="217">
        <f t="shared" si="13"/>
        <v>0</v>
      </c>
      <c r="W57" s="218">
        <f t="shared" si="4"/>
        <v>0</v>
      </c>
      <c r="X57" s="219" t="str">
        <f>LOOKUP(W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7" s="220">
        <f t="shared" si="5"/>
        <v>1.4</v>
      </c>
      <c r="Z57" s="221"/>
      <c r="AA57" s="222">
        <f t="shared" si="6"/>
        <v>0</v>
      </c>
      <c r="AB57" s="223" t="str">
        <f>LOOKUP(AA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7" s="224">
        <f t="shared" si="7"/>
        <v>1</v>
      </c>
      <c r="AD57" s="214"/>
      <c r="AE57" s="225">
        <f t="shared" si="8"/>
        <v>0</v>
      </c>
      <c r="AF57" s="219" t="str">
        <f>LOOKUP(AE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7" s="226">
        <f t="shared" si="9"/>
        <v>1</v>
      </c>
      <c r="AH57" s="146">
        <f t="shared" si="11"/>
        <v>4</v>
      </c>
    </row>
    <row r="58" spans="1:34" x14ac:dyDescent="0.2">
      <c r="A58" s="61">
        <f>'Class List'!A42</f>
        <v>40</v>
      </c>
      <c r="B58" s="71">
        <f>'Class List'!B42</f>
        <v>0</v>
      </c>
      <c r="C58" s="72" t="str">
        <f>'Class List'!C42</f>
        <v>,</v>
      </c>
      <c r="D58" s="72">
        <f>'Class List'!D42</f>
        <v>0</v>
      </c>
      <c r="E58" s="73">
        <f>'Class List'!E42</f>
        <v>0</v>
      </c>
      <c r="F58" s="214"/>
      <c r="G58" s="215"/>
      <c r="H58" s="215"/>
      <c r="I58" s="215"/>
      <c r="J58" s="215"/>
      <c r="K58" s="216"/>
      <c r="L58" s="217">
        <f t="shared" si="12"/>
        <v>0</v>
      </c>
      <c r="M58" s="218">
        <f t="shared" si="1"/>
        <v>0</v>
      </c>
      <c r="N58" s="219" t="str">
        <f>LOOKUP(M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8" s="220">
        <f t="shared" si="2"/>
        <v>0.6</v>
      </c>
      <c r="P58" s="214"/>
      <c r="Q58" s="215"/>
      <c r="R58" s="215"/>
      <c r="S58" s="215"/>
      <c r="T58" s="215"/>
      <c r="U58" s="216"/>
      <c r="V58" s="217">
        <f t="shared" si="13"/>
        <v>0</v>
      </c>
      <c r="W58" s="218">
        <f t="shared" si="4"/>
        <v>0</v>
      </c>
      <c r="X58" s="219" t="str">
        <f>LOOKUP(W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8" s="220">
        <f t="shared" si="5"/>
        <v>1.4</v>
      </c>
      <c r="Z58" s="221"/>
      <c r="AA58" s="222">
        <f t="shared" si="6"/>
        <v>0</v>
      </c>
      <c r="AB58" s="223" t="str">
        <f>LOOKUP(AA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8" s="224">
        <f t="shared" si="7"/>
        <v>1</v>
      </c>
      <c r="AD58" s="214"/>
      <c r="AE58" s="225">
        <f t="shared" si="8"/>
        <v>0</v>
      </c>
      <c r="AF58" s="219" t="str">
        <f>LOOKUP(AE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8" s="226">
        <f t="shared" si="9"/>
        <v>1</v>
      </c>
      <c r="AH58" s="146">
        <f t="shared" si="11"/>
        <v>4</v>
      </c>
    </row>
    <row r="59" spans="1:34" x14ac:dyDescent="0.2">
      <c r="A59" s="61">
        <f>'Class List'!A43</f>
        <v>41</v>
      </c>
      <c r="B59" s="71">
        <f>'Class List'!B43</f>
        <v>0</v>
      </c>
      <c r="C59" s="72" t="str">
        <f>'Class List'!C43</f>
        <v>,</v>
      </c>
      <c r="D59" s="72">
        <f>'Class List'!D43</f>
        <v>0</v>
      </c>
      <c r="E59" s="73">
        <f>'Class List'!E43</f>
        <v>0</v>
      </c>
      <c r="F59" s="214"/>
      <c r="G59" s="215"/>
      <c r="H59" s="215"/>
      <c r="I59" s="215"/>
      <c r="J59" s="215"/>
      <c r="K59" s="216"/>
      <c r="L59" s="217">
        <f t="shared" si="12"/>
        <v>0</v>
      </c>
      <c r="M59" s="218">
        <f t="shared" si="1"/>
        <v>0</v>
      </c>
      <c r="N59" s="219" t="str">
        <f>LOOKUP(M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9" s="220">
        <f t="shared" si="2"/>
        <v>0.6</v>
      </c>
      <c r="P59" s="214"/>
      <c r="Q59" s="215"/>
      <c r="R59" s="215"/>
      <c r="S59" s="215"/>
      <c r="T59" s="215"/>
      <c r="U59" s="216"/>
      <c r="V59" s="217">
        <f t="shared" si="13"/>
        <v>0</v>
      </c>
      <c r="W59" s="218">
        <f t="shared" si="4"/>
        <v>0</v>
      </c>
      <c r="X59" s="219" t="str">
        <f>LOOKUP(W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9" s="220">
        <f t="shared" si="5"/>
        <v>1.4</v>
      </c>
      <c r="Z59" s="221"/>
      <c r="AA59" s="222">
        <f t="shared" si="6"/>
        <v>0</v>
      </c>
      <c r="AB59" s="223" t="str">
        <f>LOOKUP(AA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9" s="224">
        <f t="shared" si="7"/>
        <v>1</v>
      </c>
      <c r="AD59" s="214"/>
      <c r="AE59" s="225">
        <f t="shared" si="8"/>
        <v>0</v>
      </c>
      <c r="AF59" s="219" t="str">
        <f>LOOKUP(AE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9" s="226">
        <f t="shared" si="9"/>
        <v>1</v>
      </c>
      <c r="AH59" s="146">
        <f t="shared" si="11"/>
        <v>4</v>
      </c>
    </row>
    <row r="60" spans="1:34" x14ac:dyDescent="0.2">
      <c r="A60" s="61">
        <f>'Class List'!A44</f>
        <v>42</v>
      </c>
      <c r="B60" s="71">
        <f>'Class List'!B44</f>
        <v>0</v>
      </c>
      <c r="C60" s="72" t="str">
        <f>'Class List'!C44</f>
        <v>,</v>
      </c>
      <c r="D60" s="72">
        <f>'Class List'!D44</f>
        <v>0</v>
      </c>
      <c r="E60" s="73">
        <f>'Class List'!E44</f>
        <v>0</v>
      </c>
      <c r="F60" s="214"/>
      <c r="G60" s="215"/>
      <c r="H60" s="215"/>
      <c r="I60" s="215"/>
      <c r="J60" s="215"/>
      <c r="K60" s="216"/>
      <c r="L60" s="217">
        <f t="shared" si="12"/>
        <v>0</v>
      </c>
      <c r="M60" s="218">
        <f t="shared" si="1"/>
        <v>0</v>
      </c>
      <c r="N60" s="219" t="str">
        <f>LOOKUP(M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0" s="220">
        <f t="shared" si="2"/>
        <v>0.6</v>
      </c>
      <c r="P60" s="214"/>
      <c r="Q60" s="215"/>
      <c r="R60" s="215"/>
      <c r="S60" s="215"/>
      <c r="T60" s="215"/>
      <c r="U60" s="216"/>
      <c r="V60" s="217">
        <f t="shared" si="13"/>
        <v>0</v>
      </c>
      <c r="W60" s="218">
        <f t="shared" si="4"/>
        <v>0</v>
      </c>
      <c r="X60" s="219" t="str">
        <f>LOOKUP(W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0" s="220">
        <f t="shared" si="5"/>
        <v>1.4</v>
      </c>
      <c r="Z60" s="221"/>
      <c r="AA60" s="222">
        <f t="shared" si="6"/>
        <v>0</v>
      </c>
      <c r="AB60" s="223" t="str">
        <f>LOOKUP(AA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0" s="224">
        <f t="shared" si="7"/>
        <v>1</v>
      </c>
      <c r="AD60" s="214"/>
      <c r="AE60" s="225">
        <f t="shared" si="8"/>
        <v>0</v>
      </c>
      <c r="AF60" s="219" t="str">
        <f>LOOKUP(AE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0" s="226">
        <f t="shared" si="9"/>
        <v>1</v>
      </c>
      <c r="AH60" s="146">
        <f t="shared" si="11"/>
        <v>4</v>
      </c>
    </row>
    <row r="61" spans="1:34" x14ac:dyDescent="0.2">
      <c r="A61" s="61">
        <f>'Class List'!A45</f>
        <v>43</v>
      </c>
      <c r="B61" s="71">
        <f>'Class List'!B45</f>
        <v>0</v>
      </c>
      <c r="C61" s="72" t="str">
        <f>'Class List'!C45</f>
        <v>,</v>
      </c>
      <c r="D61" s="72">
        <f>'Class List'!D45</f>
        <v>0</v>
      </c>
      <c r="E61" s="73">
        <f>'Class List'!E45</f>
        <v>0</v>
      </c>
      <c r="F61" s="214"/>
      <c r="G61" s="215"/>
      <c r="H61" s="215"/>
      <c r="I61" s="215"/>
      <c r="J61" s="215"/>
      <c r="K61" s="216"/>
      <c r="L61" s="217">
        <f t="shared" si="12"/>
        <v>0</v>
      </c>
      <c r="M61" s="218">
        <f t="shared" si="1"/>
        <v>0</v>
      </c>
      <c r="N61" s="219" t="str">
        <f>LOOKUP(M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1" s="220">
        <f t="shared" si="2"/>
        <v>0.6</v>
      </c>
      <c r="P61" s="214"/>
      <c r="Q61" s="215"/>
      <c r="R61" s="215"/>
      <c r="S61" s="215"/>
      <c r="T61" s="215"/>
      <c r="U61" s="216"/>
      <c r="V61" s="217">
        <f t="shared" si="13"/>
        <v>0</v>
      </c>
      <c r="W61" s="218">
        <f t="shared" si="4"/>
        <v>0</v>
      </c>
      <c r="X61" s="219" t="str">
        <f>LOOKUP(W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1" s="220">
        <f t="shared" si="5"/>
        <v>1.4</v>
      </c>
      <c r="Z61" s="221"/>
      <c r="AA61" s="222">
        <f t="shared" si="6"/>
        <v>0</v>
      </c>
      <c r="AB61" s="223" t="str">
        <f>LOOKUP(AA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1" s="224">
        <f t="shared" si="7"/>
        <v>1</v>
      </c>
      <c r="AD61" s="214"/>
      <c r="AE61" s="225">
        <f t="shared" si="8"/>
        <v>0</v>
      </c>
      <c r="AF61" s="219" t="str">
        <f>LOOKUP(AE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1" s="226">
        <f t="shared" si="9"/>
        <v>1</v>
      </c>
      <c r="AH61" s="146">
        <f t="shared" si="11"/>
        <v>4</v>
      </c>
    </row>
    <row r="62" spans="1:34" x14ac:dyDescent="0.2">
      <c r="A62" s="61">
        <f>'Class List'!A46</f>
        <v>44</v>
      </c>
      <c r="B62" s="71">
        <f>'Class List'!B46</f>
        <v>0</v>
      </c>
      <c r="C62" s="72" t="str">
        <f>'Class List'!C46</f>
        <v>,</v>
      </c>
      <c r="D62" s="72">
        <f>'Class List'!D46</f>
        <v>0</v>
      </c>
      <c r="E62" s="73">
        <f>'Class List'!E46</f>
        <v>0</v>
      </c>
      <c r="F62" s="214"/>
      <c r="G62" s="215"/>
      <c r="H62" s="215"/>
      <c r="I62" s="215"/>
      <c r="J62" s="215"/>
      <c r="K62" s="216"/>
      <c r="L62" s="217">
        <f t="shared" si="12"/>
        <v>0</v>
      </c>
      <c r="M62" s="218">
        <f t="shared" si="1"/>
        <v>0</v>
      </c>
      <c r="N62" s="219" t="str">
        <f>LOOKUP(M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2" s="220">
        <f t="shared" si="2"/>
        <v>0.6</v>
      </c>
      <c r="P62" s="214"/>
      <c r="Q62" s="215"/>
      <c r="R62" s="215"/>
      <c r="S62" s="215"/>
      <c r="T62" s="215"/>
      <c r="U62" s="216"/>
      <c r="V62" s="217">
        <f t="shared" si="13"/>
        <v>0</v>
      </c>
      <c r="W62" s="218">
        <f t="shared" si="4"/>
        <v>0</v>
      </c>
      <c r="X62" s="219" t="str">
        <f>LOOKUP(W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2" s="220">
        <f t="shared" si="5"/>
        <v>1.4</v>
      </c>
      <c r="Z62" s="221"/>
      <c r="AA62" s="222">
        <f t="shared" si="6"/>
        <v>0</v>
      </c>
      <c r="AB62" s="223" t="str">
        <f>LOOKUP(AA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2" s="224">
        <f t="shared" si="7"/>
        <v>1</v>
      </c>
      <c r="AD62" s="214"/>
      <c r="AE62" s="225">
        <f t="shared" si="8"/>
        <v>0</v>
      </c>
      <c r="AF62" s="219" t="str">
        <f>LOOKUP(AE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2" s="226">
        <f t="shared" si="9"/>
        <v>1</v>
      </c>
      <c r="AH62" s="146">
        <f t="shared" si="11"/>
        <v>4</v>
      </c>
    </row>
    <row r="63" spans="1:34" x14ac:dyDescent="0.2">
      <c r="A63" s="61">
        <f>'Class List'!A47</f>
        <v>45</v>
      </c>
      <c r="B63" s="71">
        <f>'Class List'!B47</f>
        <v>0</v>
      </c>
      <c r="C63" s="72" t="str">
        <f>'Class List'!C47</f>
        <v>,</v>
      </c>
      <c r="D63" s="72">
        <f>'Class List'!D47</f>
        <v>0</v>
      </c>
      <c r="E63" s="73">
        <f>'Class List'!E47</f>
        <v>0</v>
      </c>
      <c r="F63" s="214"/>
      <c r="G63" s="215"/>
      <c r="H63" s="215"/>
      <c r="I63" s="215"/>
      <c r="J63" s="215"/>
      <c r="K63" s="216"/>
      <c r="L63" s="217">
        <f t="shared" si="12"/>
        <v>0</v>
      </c>
      <c r="M63" s="218">
        <f t="shared" si="1"/>
        <v>0</v>
      </c>
      <c r="N63" s="219" t="str">
        <f>LOOKUP(M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3" s="220">
        <f t="shared" si="2"/>
        <v>0.6</v>
      </c>
      <c r="P63" s="214"/>
      <c r="Q63" s="215"/>
      <c r="R63" s="215"/>
      <c r="S63" s="215"/>
      <c r="T63" s="215"/>
      <c r="U63" s="216"/>
      <c r="V63" s="217">
        <f t="shared" si="13"/>
        <v>0</v>
      </c>
      <c r="W63" s="218">
        <f t="shared" si="4"/>
        <v>0</v>
      </c>
      <c r="X63" s="219" t="str">
        <f>LOOKUP(W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3" s="220">
        <f t="shared" si="5"/>
        <v>1.4</v>
      </c>
      <c r="Z63" s="221"/>
      <c r="AA63" s="222">
        <f t="shared" si="6"/>
        <v>0</v>
      </c>
      <c r="AB63" s="223" t="str">
        <f>LOOKUP(AA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3" s="224">
        <f t="shared" si="7"/>
        <v>1</v>
      </c>
      <c r="AD63" s="214"/>
      <c r="AE63" s="225">
        <f t="shared" si="8"/>
        <v>0</v>
      </c>
      <c r="AF63" s="219" t="str">
        <f>LOOKUP(AE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3" s="226">
        <f t="shared" si="9"/>
        <v>1</v>
      </c>
      <c r="AH63" s="146">
        <f t="shared" si="11"/>
        <v>4</v>
      </c>
    </row>
    <row r="64" spans="1:34" x14ac:dyDescent="0.2">
      <c r="A64" s="61">
        <f>'Class List'!A48</f>
        <v>46</v>
      </c>
      <c r="B64" s="71">
        <f>'Class List'!B48</f>
        <v>0</v>
      </c>
      <c r="C64" s="72" t="str">
        <f>'Class List'!C48</f>
        <v>,</v>
      </c>
      <c r="D64" s="72">
        <f>'Class List'!D48</f>
        <v>0</v>
      </c>
      <c r="E64" s="73">
        <f>'Class List'!E48</f>
        <v>0</v>
      </c>
      <c r="F64" s="214"/>
      <c r="G64" s="215"/>
      <c r="H64" s="215"/>
      <c r="I64" s="215"/>
      <c r="J64" s="215"/>
      <c r="K64" s="216"/>
      <c r="L64" s="217">
        <f t="shared" si="12"/>
        <v>0</v>
      </c>
      <c r="M64" s="218">
        <f t="shared" si="1"/>
        <v>0</v>
      </c>
      <c r="N64" s="219" t="str">
        <f>LOOKUP(M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4" s="220">
        <f t="shared" si="2"/>
        <v>0.6</v>
      </c>
      <c r="P64" s="214"/>
      <c r="Q64" s="215"/>
      <c r="R64" s="215"/>
      <c r="S64" s="215"/>
      <c r="T64" s="215"/>
      <c r="U64" s="216"/>
      <c r="V64" s="217">
        <f t="shared" si="13"/>
        <v>0</v>
      </c>
      <c r="W64" s="218">
        <f t="shared" si="4"/>
        <v>0</v>
      </c>
      <c r="X64" s="219" t="str">
        <f>LOOKUP(W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4" s="220">
        <f t="shared" si="5"/>
        <v>1.4</v>
      </c>
      <c r="Z64" s="221"/>
      <c r="AA64" s="222">
        <f t="shared" si="6"/>
        <v>0</v>
      </c>
      <c r="AB64" s="223" t="str">
        <f>LOOKUP(AA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4" s="224">
        <f t="shared" si="7"/>
        <v>1</v>
      </c>
      <c r="AD64" s="214"/>
      <c r="AE64" s="225">
        <f t="shared" si="8"/>
        <v>0</v>
      </c>
      <c r="AF64" s="219" t="str">
        <f>LOOKUP(AE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4" s="226">
        <f t="shared" si="9"/>
        <v>1</v>
      </c>
      <c r="AH64" s="146">
        <f t="shared" si="11"/>
        <v>4</v>
      </c>
    </row>
    <row r="65" spans="1:34" x14ac:dyDescent="0.2">
      <c r="A65" s="61">
        <f>'Class List'!A49</f>
        <v>47</v>
      </c>
      <c r="B65" s="71">
        <f>'Class List'!B49</f>
        <v>0</v>
      </c>
      <c r="C65" s="72" t="str">
        <f>'Class List'!C49</f>
        <v>,</v>
      </c>
      <c r="D65" s="72">
        <f>'Class List'!D49</f>
        <v>0</v>
      </c>
      <c r="E65" s="73">
        <f>'Class List'!E49</f>
        <v>0</v>
      </c>
      <c r="F65" s="214"/>
      <c r="G65" s="215"/>
      <c r="H65" s="215"/>
      <c r="I65" s="215"/>
      <c r="J65" s="215"/>
      <c r="K65" s="216"/>
      <c r="L65" s="217">
        <f t="shared" si="12"/>
        <v>0</v>
      </c>
      <c r="M65" s="218">
        <f t="shared" si="1"/>
        <v>0</v>
      </c>
      <c r="N65" s="219" t="str">
        <f>LOOKUP(M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5" s="220">
        <f t="shared" si="2"/>
        <v>0.6</v>
      </c>
      <c r="P65" s="214"/>
      <c r="Q65" s="215"/>
      <c r="R65" s="215"/>
      <c r="S65" s="215"/>
      <c r="T65" s="215"/>
      <c r="U65" s="216"/>
      <c r="V65" s="217">
        <f t="shared" si="13"/>
        <v>0</v>
      </c>
      <c r="W65" s="218">
        <f t="shared" si="4"/>
        <v>0</v>
      </c>
      <c r="X65" s="219" t="str">
        <f>LOOKUP(W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5" s="220">
        <f t="shared" si="5"/>
        <v>1.4</v>
      </c>
      <c r="Z65" s="221"/>
      <c r="AA65" s="222">
        <f t="shared" si="6"/>
        <v>0</v>
      </c>
      <c r="AB65" s="223" t="str">
        <f>LOOKUP(AA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5" s="224">
        <f t="shared" si="7"/>
        <v>1</v>
      </c>
      <c r="AD65" s="214"/>
      <c r="AE65" s="225">
        <f t="shared" si="8"/>
        <v>0</v>
      </c>
      <c r="AF65" s="219" t="str">
        <f>LOOKUP(AE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5" s="226">
        <f t="shared" si="9"/>
        <v>1</v>
      </c>
      <c r="AH65" s="146">
        <f t="shared" si="11"/>
        <v>4</v>
      </c>
    </row>
    <row r="66" spans="1:34" x14ac:dyDescent="0.2">
      <c r="A66" s="61">
        <f>'Class List'!A50</f>
        <v>48</v>
      </c>
      <c r="B66" s="71">
        <f>'Class List'!B50</f>
        <v>0</v>
      </c>
      <c r="C66" s="72" t="str">
        <f>'Class List'!C50</f>
        <v>,</v>
      </c>
      <c r="D66" s="72">
        <f>'Class List'!D50</f>
        <v>0</v>
      </c>
      <c r="E66" s="73">
        <f>'Class List'!E50</f>
        <v>0</v>
      </c>
      <c r="F66" s="214"/>
      <c r="G66" s="215"/>
      <c r="H66" s="215"/>
      <c r="I66" s="215"/>
      <c r="J66" s="215"/>
      <c r="K66" s="216"/>
      <c r="L66" s="217">
        <f t="shared" si="12"/>
        <v>0</v>
      </c>
      <c r="M66" s="218">
        <f t="shared" si="1"/>
        <v>0</v>
      </c>
      <c r="N66" s="219" t="str">
        <f>LOOKUP(M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6" s="220">
        <f t="shared" si="2"/>
        <v>0.6</v>
      </c>
      <c r="P66" s="214"/>
      <c r="Q66" s="215"/>
      <c r="R66" s="215"/>
      <c r="S66" s="215"/>
      <c r="T66" s="215"/>
      <c r="U66" s="216"/>
      <c r="V66" s="217">
        <f t="shared" si="13"/>
        <v>0</v>
      </c>
      <c r="W66" s="218">
        <f t="shared" si="4"/>
        <v>0</v>
      </c>
      <c r="X66" s="219" t="str">
        <f>LOOKUP(W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6" s="220">
        <f t="shared" si="5"/>
        <v>1.4</v>
      </c>
      <c r="Z66" s="221"/>
      <c r="AA66" s="222">
        <f t="shared" si="6"/>
        <v>0</v>
      </c>
      <c r="AB66" s="223" t="str">
        <f>LOOKUP(AA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6" s="224">
        <f t="shared" si="7"/>
        <v>1</v>
      </c>
      <c r="AD66" s="214"/>
      <c r="AE66" s="225">
        <f t="shared" si="8"/>
        <v>0</v>
      </c>
      <c r="AF66" s="219" t="str">
        <f>LOOKUP(AE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6" s="226">
        <f t="shared" si="9"/>
        <v>1</v>
      </c>
      <c r="AH66" s="146">
        <f t="shared" si="11"/>
        <v>4</v>
      </c>
    </row>
    <row r="67" spans="1:34" x14ac:dyDescent="0.2">
      <c r="A67" s="61">
        <f>'Class List'!A51</f>
        <v>49</v>
      </c>
      <c r="B67" s="71">
        <f>'Class List'!B51</f>
        <v>0</v>
      </c>
      <c r="C67" s="72" t="str">
        <f>'Class List'!C51</f>
        <v>,</v>
      </c>
      <c r="D67" s="72">
        <f>'Class List'!D51</f>
        <v>0</v>
      </c>
      <c r="E67" s="73">
        <f>'Class List'!E51</f>
        <v>0</v>
      </c>
      <c r="F67" s="214"/>
      <c r="G67" s="215"/>
      <c r="H67" s="215"/>
      <c r="I67" s="215"/>
      <c r="J67" s="215"/>
      <c r="K67" s="216"/>
      <c r="L67" s="217">
        <f t="shared" si="12"/>
        <v>0</v>
      </c>
      <c r="M67" s="218">
        <f t="shared" si="1"/>
        <v>0</v>
      </c>
      <c r="N67" s="219" t="str">
        <f>LOOKUP(M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7" s="220">
        <f t="shared" si="2"/>
        <v>0.6</v>
      </c>
      <c r="P67" s="214"/>
      <c r="Q67" s="215"/>
      <c r="R67" s="215"/>
      <c r="S67" s="215"/>
      <c r="T67" s="215"/>
      <c r="U67" s="216"/>
      <c r="V67" s="217">
        <f t="shared" si="13"/>
        <v>0</v>
      </c>
      <c r="W67" s="218">
        <f t="shared" si="4"/>
        <v>0</v>
      </c>
      <c r="X67" s="219" t="str">
        <f>LOOKUP(W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7" s="220">
        <f t="shared" si="5"/>
        <v>1.4</v>
      </c>
      <c r="Z67" s="221"/>
      <c r="AA67" s="222">
        <f t="shared" si="6"/>
        <v>0</v>
      </c>
      <c r="AB67" s="223" t="str">
        <f>LOOKUP(AA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7" s="224">
        <f t="shared" si="7"/>
        <v>1</v>
      </c>
      <c r="AD67" s="214"/>
      <c r="AE67" s="225">
        <f t="shared" si="8"/>
        <v>0</v>
      </c>
      <c r="AF67" s="219" t="str">
        <f>LOOKUP(AE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7" s="226">
        <f t="shared" si="9"/>
        <v>1</v>
      </c>
      <c r="AH67" s="146">
        <f t="shared" si="11"/>
        <v>4</v>
      </c>
    </row>
    <row r="68" spans="1:34" x14ac:dyDescent="0.2">
      <c r="A68" s="61">
        <f>'Class List'!A52</f>
        <v>50</v>
      </c>
      <c r="B68" s="71">
        <f>'Class List'!B52</f>
        <v>0</v>
      </c>
      <c r="C68" s="72" t="str">
        <f>'Class List'!C52</f>
        <v>,</v>
      </c>
      <c r="D68" s="72">
        <f>'Class List'!D52</f>
        <v>0</v>
      </c>
      <c r="E68" s="73">
        <f>'Class List'!E52</f>
        <v>0</v>
      </c>
      <c r="F68" s="214"/>
      <c r="G68" s="215"/>
      <c r="H68" s="215"/>
      <c r="I68" s="215"/>
      <c r="J68" s="215"/>
      <c r="K68" s="216"/>
      <c r="L68" s="217">
        <f t="shared" si="12"/>
        <v>0</v>
      </c>
      <c r="M68" s="218">
        <f t="shared" si="1"/>
        <v>0</v>
      </c>
      <c r="N68" s="219" t="str">
        <f>LOOKUP(M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8" s="220">
        <f t="shared" si="2"/>
        <v>0.6</v>
      </c>
      <c r="P68" s="214"/>
      <c r="Q68" s="215"/>
      <c r="R68" s="215"/>
      <c r="S68" s="215"/>
      <c r="T68" s="215"/>
      <c r="U68" s="216"/>
      <c r="V68" s="217">
        <f t="shared" si="13"/>
        <v>0</v>
      </c>
      <c r="W68" s="218">
        <f t="shared" si="4"/>
        <v>0</v>
      </c>
      <c r="X68" s="219" t="str">
        <f>LOOKUP(W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8" s="220">
        <f t="shared" si="5"/>
        <v>1.4</v>
      </c>
      <c r="Z68" s="221"/>
      <c r="AA68" s="222">
        <f t="shared" si="6"/>
        <v>0</v>
      </c>
      <c r="AB68" s="223" t="str">
        <f>LOOKUP(AA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8" s="224">
        <f t="shared" si="7"/>
        <v>1</v>
      </c>
      <c r="AD68" s="214"/>
      <c r="AE68" s="225">
        <f t="shared" si="8"/>
        <v>0</v>
      </c>
      <c r="AF68" s="219" t="str">
        <f>LOOKUP(AE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8" s="226">
        <f t="shared" si="9"/>
        <v>1</v>
      </c>
      <c r="AH68" s="146">
        <f t="shared" si="11"/>
        <v>4</v>
      </c>
    </row>
    <row r="69" spans="1:34" x14ac:dyDescent="0.2">
      <c r="A69" s="61">
        <f>'Class List'!A53</f>
        <v>51</v>
      </c>
      <c r="B69" s="71">
        <f>'Class List'!B53</f>
        <v>0</v>
      </c>
      <c r="C69" s="72" t="str">
        <f>'Class List'!C53</f>
        <v>,</v>
      </c>
      <c r="D69" s="72">
        <f>'Class List'!D53</f>
        <v>0</v>
      </c>
      <c r="E69" s="73">
        <f>'Class List'!E53</f>
        <v>0</v>
      </c>
      <c r="F69" s="214"/>
      <c r="G69" s="215"/>
      <c r="H69" s="215"/>
      <c r="I69" s="215"/>
      <c r="J69" s="215"/>
      <c r="K69" s="216"/>
      <c r="L69" s="217">
        <f t="shared" si="12"/>
        <v>0</v>
      </c>
      <c r="M69" s="218">
        <f t="shared" si="1"/>
        <v>0</v>
      </c>
      <c r="N69" s="219" t="str">
        <f>LOOKUP(M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9" s="220">
        <f t="shared" si="2"/>
        <v>0.6</v>
      </c>
      <c r="P69" s="214"/>
      <c r="Q69" s="215"/>
      <c r="R69" s="215"/>
      <c r="S69" s="215"/>
      <c r="T69" s="215"/>
      <c r="U69" s="216"/>
      <c r="V69" s="217">
        <f t="shared" si="13"/>
        <v>0</v>
      </c>
      <c r="W69" s="218">
        <f t="shared" si="4"/>
        <v>0</v>
      </c>
      <c r="X69" s="219" t="str">
        <f>LOOKUP(W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9" s="220">
        <f t="shared" si="5"/>
        <v>1.4</v>
      </c>
      <c r="Z69" s="221"/>
      <c r="AA69" s="222">
        <f t="shared" si="6"/>
        <v>0</v>
      </c>
      <c r="AB69" s="223" t="str">
        <f>LOOKUP(AA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9" s="224">
        <f t="shared" si="7"/>
        <v>1</v>
      </c>
      <c r="AD69" s="214"/>
      <c r="AE69" s="225">
        <f t="shared" si="8"/>
        <v>0</v>
      </c>
      <c r="AF69" s="219" t="str">
        <f>LOOKUP(AE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9" s="226">
        <f t="shared" si="9"/>
        <v>1</v>
      </c>
      <c r="AH69" s="146">
        <f t="shared" si="11"/>
        <v>4</v>
      </c>
    </row>
    <row r="70" spans="1:34" x14ac:dyDescent="0.2">
      <c r="A70" s="61">
        <f>'Class List'!A54</f>
        <v>52</v>
      </c>
      <c r="B70" s="71">
        <f>'Class List'!B54</f>
        <v>0</v>
      </c>
      <c r="C70" s="72" t="str">
        <f>'Class List'!C54</f>
        <v>,</v>
      </c>
      <c r="D70" s="72">
        <f>'Class List'!D54</f>
        <v>0</v>
      </c>
      <c r="E70" s="73">
        <f>'Class List'!E54</f>
        <v>0</v>
      </c>
      <c r="F70" s="214"/>
      <c r="G70" s="215"/>
      <c r="H70" s="215"/>
      <c r="I70" s="215"/>
      <c r="J70" s="215"/>
      <c r="K70" s="216"/>
      <c r="L70" s="217">
        <f t="shared" si="12"/>
        <v>0</v>
      </c>
      <c r="M70" s="218">
        <f t="shared" si="1"/>
        <v>0</v>
      </c>
      <c r="N70" s="219" t="str">
        <f>LOOKUP(M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0" s="220">
        <f t="shared" si="2"/>
        <v>0.6</v>
      </c>
      <c r="P70" s="214"/>
      <c r="Q70" s="215"/>
      <c r="R70" s="215"/>
      <c r="S70" s="215"/>
      <c r="T70" s="215"/>
      <c r="U70" s="216"/>
      <c r="V70" s="217">
        <f t="shared" si="13"/>
        <v>0</v>
      </c>
      <c r="W70" s="218">
        <f t="shared" si="4"/>
        <v>0</v>
      </c>
      <c r="X70" s="219" t="str">
        <f>LOOKUP(W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0" s="220">
        <f t="shared" si="5"/>
        <v>1.4</v>
      </c>
      <c r="Z70" s="221"/>
      <c r="AA70" s="222">
        <f t="shared" si="6"/>
        <v>0</v>
      </c>
      <c r="AB70" s="223" t="str">
        <f>LOOKUP(AA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0" s="224">
        <f t="shared" si="7"/>
        <v>1</v>
      </c>
      <c r="AD70" s="214"/>
      <c r="AE70" s="225">
        <f t="shared" si="8"/>
        <v>0</v>
      </c>
      <c r="AF70" s="219" t="str">
        <f>LOOKUP(AE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0" s="226">
        <f t="shared" si="9"/>
        <v>1</v>
      </c>
      <c r="AH70" s="146">
        <f t="shared" si="11"/>
        <v>4</v>
      </c>
    </row>
    <row r="71" spans="1:34" x14ac:dyDescent="0.2">
      <c r="A71" s="61">
        <f>'Class List'!A55</f>
        <v>53</v>
      </c>
      <c r="B71" s="71">
        <f>'Class List'!B55</f>
        <v>0</v>
      </c>
      <c r="C71" s="72" t="str">
        <f>'Class List'!C55</f>
        <v>,</v>
      </c>
      <c r="D71" s="72">
        <f>'Class List'!D55</f>
        <v>0</v>
      </c>
      <c r="E71" s="73">
        <f>'Class List'!E55</f>
        <v>0</v>
      </c>
      <c r="F71" s="214"/>
      <c r="G71" s="215"/>
      <c r="H71" s="215"/>
      <c r="I71" s="215"/>
      <c r="J71" s="215"/>
      <c r="K71" s="216"/>
      <c r="L71" s="217">
        <f t="shared" si="12"/>
        <v>0</v>
      </c>
      <c r="M71" s="218">
        <f t="shared" si="1"/>
        <v>0</v>
      </c>
      <c r="N71" s="219" t="str">
        <f>LOOKUP(M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1" s="220">
        <f t="shared" si="2"/>
        <v>0.6</v>
      </c>
      <c r="P71" s="214"/>
      <c r="Q71" s="215"/>
      <c r="R71" s="215"/>
      <c r="S71" s="215"/>
      <c r="T71" s="215"/>
      <c r="U71" s="216"/>
      <c r="V71" s="217">
        <f t="shared" si="13"/>
        <v>0</v>
      </c>
      <c r="W71" s="218">
        <f t="shared" si="4"/>
        <v>0</v>
      </c>
      <c r="X71" s="219" t="str">
        <f>LOOKUP(W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1" s="220">
        <f t="shared" si="5"/>
        <v>1.4</v>
      </c>
      <c r="Z71" s="221"/>
      <c r="AA71" s="222">
        <f t="shared" si="6"/>
        <v>0</v>
      </c>
      <c r="AB71" s="223" t="str">
        <f>LOOKUP(AA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1" s="224">
        <f t="shared" si="7"/>
        <v>1</v>
      </c>
      <c r="AD71" s="214"/>
      <c r="AE71" s="225">
        <f t="shared" si="8"/>
        <v>0</v>
      </c>
      <c r="AF71" s="219" t="str">
        <f>LOOKUP(AE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1" s="226">
        <f t="shared" si="9"/>
        <v>1</v>
      </c>
      <c r="AH71" s="146">
        <f t="shared" si="11"/>
        <v>4</v>
      </c>
    </row>
    <row r="72" spans="1:34" x14ac:dyDescent="0.2">
      <c r="A72" s="61">
        <f>'Class List'!A56</f>
        <v>54</v>
      </c>
      <c r="B72" s="71">
        <f>'Class List'!B56</f>
        <v>0</v>
      </c>
      <c r="C72" s="72" t="str">
        <f>'Class List'!C56</f>
        <v>,</v>
      </c>
      <c r="D72" s="72">
        <f>'Class List'!D56</f>
        <v>0</v>
      </c>
      <c r="E72" s="73">
        <f>'Class List'!E56</f>
        <v>0</v>
      </c>
      <c r="F72" s="214"/>
      <c r="G72" s="215"/>
      <c r="H72" s="215"/>
      <c r="I72" s="215"/>
      <c r="J72" s="215"/>
      <c r="K72" s="216"/>
      <c r="L72" s="217">
        <f t="shared" si="12"/>
        <v>0</v>
      </c>
      <c r="M72" s="218">
        <f t="shared" si="1"/>
        <v>0</v>
      </c>
      <c r="N72" s="219" t="str">
        <f>LOOKUP(M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2" s="220">
        <f t="shared" si="2"/>
        <v>0.6</v>
      </c>
      <c r="P72" s="214"/>
      <c r="Q72" s="215"/>
      <c r="R72" s="215"/>
      <c r="S72" s="215"/>
      <c r="T72" s="215"/>
      <c r="U72" s="216"/>
      <c r="V72" s="217">
        <f t="shared" si="13"/>
        <v>0</v>
      </c>
      <c r="W72" s="218">
        <f t="shared" si="4"/>
        <v>0</v>
      </c>
      <c r="X72" s="219" t="str">
        <f>LOOKUP(W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2" s="220">
        <f t="shared" si="5"/>
        <v>1.4</v>
      </c>
      <c r="Z72" s="221"/>
      <c r="AA72" s="222">
        <f t="shared" si="6"/>
        <v>0</v>
      </c>
      <c r="AB72" s="223" t="str">
        <f>LOOKUP(AA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2" s="224">
        <f t="shared" si="7"/>
        <v>1</v>
      </c>
      <c r="AD72" s="214"/>
      <c r="AE72" s="225">
        <f t="shared" si="8"/>
        <v>0</v>
      </c>
      <c r="AF72" s="219" t="str">
        <f>LOOKUP(AE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2" s="226">
        <f t="shared" si="9"/>
        <v>1</v>
      </c>
      <c r="AH72" s="146">
        <f t="shared" si="11"/>
        <v>4</v>
      </c>
    </row>
    <row r="73" spans="1:34" x14ac:dyDescent="0.2">
      <c r="A73" s="61">
        <f>'Class List'!A57</f>
        <v>55</v>
      </c>
      <c r="B73" s="71">
        <f>'Class List'!B57</f>
        <v>0</v>
      </c>
      <c r="C73" s="72" t="str">
        <f>'Class List'!C57</f>
        <v>,</v>
      </c>
      <c r="D73" s="72">
        <f>'Class List'!D57</f>
        <v>0</v>
      </c>
      <c r="E73" s="73">
        <f>'Class List'!E57</f>
        <v>0</v>
      </c>
      <c r="F73" s="214"/>
      <c r="G73" s="215"/>
      <c r="H73" s="215"/>
      <c r="I73" s="215"/>
      <c r="J73" s="215"/>
      <c r="K73" s="216"/>
      <c r="L73" s="217">
        <f t="shared" si="12"/>
        <v>0</v>
      </c>
      <c r="M73" s="218">
        <f t="shared" si="1"/>
        <v>0</v>
      </c>
      <c r="N73" s="219" t="str">
        <f>LOOKUP(M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3" s="220">
        <f t="shared" si="2"/>
        <v>0.6</v>
      </c>
      <c r="P73" s="214"/>
      <c r="Q73" s="215"/>
      <c r="R73" s="215"/>
      <c r="S73" s="215"/>
      <c r="T73" s="215"/>
      <c r="U73" s="216"/>
      <c r="V73" s="217">
        <f t="shared" si="13"/>
        <v>0</v>
      </c>
      <c r="W73" s="218">
        <f t="shared" si="4"/>
        <v>0</v>
      </c>
      <c r="X73" s="219" t="str">
        <f>LOOKUP(W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3" s="220">
        <f t="shared" si="5"/>
        <v>1.4</v>
      </c>
      <c r="Z73" s="221"/>
      <c r="AA73" s="222">
        <f t="shared" si="6"/>
        <v>0</v>
      </c>
      <c r="AB73" s="223" t="str">
        <f>LOOKUP(AA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3" s="224">
        <f t="shared" si="7"/>
        <v>1</v>
      </c>
      <c r="AD73" s="214"/>
      <c r="AE73" s="225">
        <f t="shared" si="8"/>
        <v>0</v>
      </c>
      <c r="AF73" s="219" t="str">
        <f>LOOKUP(AE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3" s="226">
        <f t="shared" si="9"/>
        <v>1</v>
      </c>
      <c r="AH73" s="146">
        <f t="shared" si="11"/>
        <v>4</v>
      </c>
    </row>
    <row r="74" spans="1:34" x14ac:dyDescent="0.2">
      <c r="A74" s="61">
        <f>'Class List'!A58</f>
        <v>56</v>
      </c>
      <c r="B74" s="71">
        <f>'Class List'!B58</f>
        <v>0</v>
      </c>
      <c r="C74" s="72" t="str">
        <f>'Class List'!C58</f>
        <v>,</v>
      </c>
      <c r="D74" s="72">
        <f>'Class List'!D58</f>
        <v>0</v>
      </c>
      <c r="E74" s="73">
        <f>'Class List'!E58</f>
        <v>0</v>
      </c>
      <c r="F74" s="214"/>
      <c r="G74" s="215"/>
      <c r="H74" s="215"/>
      <c r="I74" s="215"/>
      <c r="J74" s="215"/>
      <c r="K74" s="216"/>
      <c r="L74" s="217">
        <f t="shared" si="12"/>
        <v>0</v>
      </c>
      <c r="M74" s="218">
        <f t="shared" si="1"/>
        <v>0</v>
      </c>
      <c r="N74" s="219" t="str">
        <f>LOOKUP(M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4" s="220">
        <f t="shared" si="2"/>
        <v>0.6</v>
      </c>
      <c r="P74" s="214"/>
      <c r="Q74" s="215"/>
      <c r="R74" s="215"/>
      <c r="S74" s="215"/>
      <c r="T74" s="215"/>
      <c r="U74" s="216"/>
      <c r="V74" s="217">
        <f t="shared" si="13"/>
        <v>0</v>
      </c>
      <c r="W74" s="218">
        <f t="shared" si="4"/>
        <v>0</v>
      </c>
      <c r="X74" s="219" t="str">
        <f>LOOKUP(W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4" s="220">
        <f t="shared" si="5"/>
        <v>1.4</v>
      </c>
      <c r="Z74" s="221"/>
      <c r="AA74" s="222">
        <f t="shared" si="6"/>
        <v>0</v>
      </c>
      <c r="AB74" s="223" t="str">
        <f>LOOKUP(AA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4" s="224">
        <f t="shared" si="7"/>
        <v>1</v>
      </c>
      <c r="AD74" s="214"/>
      <c r="AE74" s="225">
        <f t="shared" si="8"/>
        <v>0</v>
      </c>
      <c r="AF74" s="219" t="str">
        <f>LOOKUP(AE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4" s="226">
        <f t="shared" si="9"/>
        <v>1</v>
      </c>
      <c r="AH74" s="146">
        <f t="shared" si="11"/>
        <v>4</v>
      </c>
    </row>
    <row r="75" spans="1:34" x14ac:dyDescent="0.2">
      <c r="A75" s="61">
        <f>'Class List'!A59</f>
        <v>57</v>
      </c>
      <c r="B75" s="71">
        <f>'Class List'!B59</f>
        <v>0</v>
      </c>
      <c r="C75" s="72" t="str">
        <f>'Class List'!C59</f>
        <v>,</v>
      </c>
      <c r="D75" s="72">
        <f>'Class List'!D59</f>
        <v>0</v>
      </c>
      <c r="E75" s="73">
        <f>'Class List'!E59</f>
        <v>0</v>
      </c>
      <c r="F75" s="214"/>
      <c r="G75" s="215"/>
      <c r="H75" s="215"/>
      <c r="I75" s="215"/>
      <c r="J75" s="215"/>
      <c r="K75" s="216"/>
      <c r="L75" s="217">
        <f t="shared" si="12"/>
        <v>0</v>
      </c>
      <c r="M75" s="218">
        <f t="shared" si="1"/>
        <v>0</v>
      </c>
      <c r="N75" s="219" t="str">
        <f>LOOKUP(M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5" s="220">
        <f t="shared" si="2"/>
        <v>0.6</v>
      </c>
      <c r="P75" s="214"/>
      <c r="Q75" s="215"/>
      <c r="R75" s="215"/>
      <c r="S75" s="215"/>
      <c r="T75" s="215"/>
      <c r="U75" s="216"/>
      <c r="V75" s="217">
        <f t="shared" si="13"/>
        <v>0</v>
      </c>
      <c r="W75" s="218">
        <f t="shared" si="4"/>
        <v>0</v>
      </c>
      <c r="X75" s="219" t="str">
        <f>LOOKUP(W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5" s="220">
        <f t="shared" si="5"/>
        <v>1.4</v>
      </c>
      <c r="Z75" s="221"/>
      <c r="AA75" s="222">
        <f t="shared" si="6"/>
        <v>0</v>
      </c>
      <c r="AB75" s="223" t="str">
        <f>LOOKUP(AA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5" s="224">
        <f t="shared" si="7"/>
        <v>1</v>
      </c>
      <c r="AD75" s="214"/>
      <c r="AE75" s="225">
        <f t="shared" si="8"/>
        <v>0</v>
      </c>
      <c r="AF75" s="219" t="str">
        <f>LOOKUP(AE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5" s="226">
        <f t="shared" si="9"/>
        <v>1</v>
      </c>
      <c r="AH75" s="146">
        <f t="shared" si="11"/>
        <v>4</v>
      </c>
    </row>
    <row r="76" spans="1:34" x14ac:dyDescent="0.2">
      <c r="A76" s="61">
        <f>'Class List'!A60</f>
        <v>58</v>
      </c>
      <c r="B76" s="71">
        <f>'Class List'!B60</f>
        <v>0</v>
      </c>
      <c r="C76" s="72" t="str">
        <f>'Class List'!C60</f>
        <v>,</v>
      </c>
      <c r="D76" s="72">
        <f>'Class List'!D60</f>
        <v>0</v>
      </c>
      <c r="E76" s="73">
        <f>'Class List'!E60</f>
        <v>0</v>
      </c>
      <c r="F76" s="214"/>
      <c r="G76" s="215"/>
      <c r="H76" s="215"/>
      <c r="I76" s="215"/>
      <c r="J76" s="215"/>
      <c r="K76" s="216"/>
      <c r="L76" s="217">
        <f t="shared" si="12"/>
        <v>0</v>
      </c>
      <c r="M76" s="218">
        <f t="shared" si="1"/>
        <v>0</v>
      </c>
      <c r="N76" s="219" t="str">
        <f>LOOKUP(M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6" s="220">
        <f t="shared" si="2"/>
        <v>0.6</v>
      </c>
      <c r="P76" s="214"/>
      <c r="Q76" s="215"/>
      <c r="R76" s="215"/>
      <c r="S76" s="215"/>
      <c r="T76" s="215"/>
      <c r="U76" s="216"/>
      <c r="V76" s="217">
        <f t="shared" si="13"/>
        <v>0</v>
      </c>
      <c r="W76" s="218">
        <f t="shared" si="4"/>
        <v>0</v>
      </c>
      <c r="X76" s="219" t="str">
        <f>LOOKUP(W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6" s="220">
        <f t="shared" si="5"/>
        <v>1.4</v>
      </c>
      <c r="Z76" s="221"/>
      <c r="AA76" s="222">
        <f t="shared" si="6"/>
        <v>0</v>
      </c>
      <c r="AB76" s="223" t="str">
        <f>LOOKUP(AA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6" s="224">
        <f t="shared" si="7"/>
        <v>1</v>
      </c>
      <c r="AD76" s="214"/>
      <c r="AE76" s="225">
        <f t="shared" si="8"/>
        <v>0</v>
      </c>
      <c r="AF76" s="219" t="str">
        <f>LOOKUP(AE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6" s="226">
        <f t="shared" si="9"/>
        <v>1</v>
      </c>
      <c r="AH76" s="146">
        <f t="shared" si="11"/>
        <v>4</v>
      </c>
    </row>
    <row r="77" spans="1:34" x14ac:dyDescent="0.2">
      <c r="A77" s="61">
        <f>'Class List'!A61</f>
        <v>59</v>
      </c>
      <c r="B77" s="71">
        <f>'Class List'!B61</f>
        <v>0</v>
      </c>
      <c r="C77" s="72" t="str">
        <f>'Class List'!C61</f>
        <v>,</v>
      </c>
      <c r="D77" s="72">
        <f>'Class List'!D61</f>
        <v>0</v>
      </c>
      <c r="E77" s="73">
        <f>'Class List'!E61</f>
        <v>0</v>
      </c>
      <c r="F77" s="214"/>
      <c r="G77" s="215"/>
      <c r="H77" s="215"/>
      <c r="I77" s="215"/>
      <c r="J77" s="215"/>
      <c r="K77" s="216"/>
      <c r="L77" s="217">
        <f t="shared" si="12"/>
        <v>0</v>
      </c>
      <c r="M77" s="218">
        <f t="shared" si="1"/>
        <v>0</v>
      </c>
      <c r="N77" s="219" t="str">
        <f>LOOKUP(M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7" s="220">
        <f t="shared" si="2"/>
        <v>0.6</v>
      </c>
      <c r="P77" s="214"/>
      <c r="Q77" s="215"/>
      <c r="R77" s="215"/>
      <c r="S77" s="215"/>
      <c r="T77" s="215"/>
      <c r="U77" s="216"/>
      <c r="V77" s="217">
        <f t="shared" si="13"/>
        <v>0</v>
      </c>
      <c r="W77" s="218">
        <f t="shared" si="4"/>
        <v>0</v>
      </c>
      <c r="X77" s="219" t="str">
        <f>LOOKUP(W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7" s="220">
        <f t="shared" si="5"/>
        <v>1.4</v>
      </c>
      <c r="Z77" s="221"/>
      <c r="AA77" s="222">
        <f t="shared" si="6"/>
        <v>0</v>
      </c>
      <c r="AB77" s="223" t="str">
        <f>LOOKUP(AA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7" s="224">
        <f t="shared" si="7"/>
        <v>1</v>
      </c>
      <c r="AD77" s="214"/>
      <c r="AE77" s="225">
        <f t="shared" si="8"/>
        <v>0</v>
      </c>
      <c r="AF77" s="219" t="str">
        <f>LOOKUP(AE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7" s="226">
        <f t="shared" si="9"/>
        <v>1</v>
      </c>
      <c r="AH77" s="146">
        <f t="shared" si="11"/>
        <v>4</v>
      </c>
    </row>
    <row r="78" spans="1:34" ht="17" thickBot="1" x14ac:dyDescent="0.25">
      <c r="A78" s="67">
        <f>'Class List'!A62</f>
        <v>60</v>
      </c>
      <c r="B78" s="74">
        <f>'Class List'!B62</f>
        <v>0</v>
      </c>
      <c r="C78" s="75" t="str">
        <f>'Class List'!C62</f>
        <v>,</v>
      </c>
      <c r="D78" s="75">
        <f>'Class List'!D62</f>
        <v>0</v>
      </c>
      <c r="E78" s="76">
        <f>'Class List'!E62</f>
        <v>0</v>
      </c>
      <c r="F78" s="227"/>
      <c r="G78" s="228"/>
      <c r="H78" s="228"/>
      <c r="I78" s="228"/>
      <c r="J78" s="228"/>
      <c r="K78" s="229"/>
      <c r="L78" s="217">
        <f t="shared" si="12"/>
        <v>0</v>
      </c>
      <c r="M78" s="218">
        <f t="shared" si="1"/>
        <v>0</v>
      </c>
      <c r="N78" s="219" t="str">
        <f>LOOKUP(M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8" s="220">
        <f t="shared" si="2"/>
        <v>0.6</v>
      </c>
      <c r="P78" s="227"/>
      <c r="Q78" s="228"/>
      <c r="R78" s="228"/>
      <c r="S78" s="228"/>
      <c r="T78" s="228"/>
      <c r="U78" s="229"/>
      <c r="V78" s="217">
        <f t="shared" si="13"/>
        <v>0</v>
      </c>
      <c r="W78" s="218">
        <f t="shared" si="4"/>
        <v>0</v>
      </c>
      <c r="X78" s="219" t="str">
        <f>LOOKUP(W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8" s="220">
        <f t="shared" si="5"/>
        <v>1.4</v>
      </c>
      <c r="Z78" s="230"/>
      <c r="AA78" s="222">
        <f t="shared" si="6"/>
        <v>0</v>
      </c>
      <c r="AB78" s="223" t="str">
        <f>LOOKUP(AA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8" s="224">
        <f t="shared" si="7"/>
        <v>1</v>
      </c>
      <c r="AD78" s="227"/>
      <c r="AE78" s="225">
        <f t="shared" si="8"/>
        <v>0</v>
      </c>
      <c r="AF78" s="219" t="str">
        <f>LOOKUP(AE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8" s="226">
        <f t="shared" si="9"/>
        <v>1</v>
      </c>
      <c r="AH78" s="146">
        <f t="shared" si="11"/>
        <v>4</v>
      </c>
    </row>
    <row r="79" spans="1:34" x14ac:dyDescent="0.2">
      <c r="A79" s="42"/>
      <c r="B79" s="43"/>
      <c r="C79" s="43"/>
      <c r="D79" s="43"/>
      <c r="E79" s="43"/>
      <c r="F79" s="78"/>
      <c r="G79" s="78"/>
      <c r="H79" s="78"/>
      <c r="I79" s="78"/>
      <c r="J79" s="78"/>
      <c r="K79" s="78"/>
      <c r="L79" s="100"/>
      <c r="M79" s="93"/>
      <c r="N79" s="86"/>
      <c r="O79" s="107"/>
      <c r="P79" s="78"/>
      <c r="Q79" s="78"/>
      <c r="R79" s="78"/>
      <c r="S79" s="78"/>
      <c r="T79" s="78"/>
      <c r="U79" s="78"/>
      <c r="V79" s="100"/>
      <c r="W79" s="93"/>
      <c r="X79" s="86"/>
      <c r="Y79" s="107"/>
      <c r="Z79" s="26"/>
      <c r="AA79" s="26"/>
      <c r="AB79" s="26"/>
      <c r="AC79" s="26"/>
      <c r="AD79" s="26"/>
      <c r="AE79" s="26"/>
      <c r="AF79" s="26"/>
      <c r="AG79" s="26"/>
      <c r="AH79" s="44"/>
    </row>
    <row r="80" spans="1:34" x14ac:dyDescent="0.2">
      <c r="A80" s="13"/>
      <c r="B80" s="7"/>
      <c r="C80" s="7"/>
      <c r="D80" s="7"/>
      <c r="E80" s="7"/>
      <c r="F80" s="79"/>
      <c r="G80" s="79"/>
      <c r="H80" s="79"/>
      <c r="I80" s="79"/>
      <c r="J80" s="79"/>
      <c r="K80" s="79"/>
      <c r="L80" s="101"/>
      <c r="M80" s="94"/>
      <c r="N80" s="87"/>
      <c r="O80" s="108"/>
      <c r="P80" s="79"/>
      <c r="Q80" s="79"/>
      <c r="R80" s="79"/>
      <c r="S80" s="79"/>
      <c r="T80" s="79"/>
      <c r="U80" s="79"/>
      <c r="V80" s="101"/>
      <c r="W80" s="94"/>
      <c r="X80" s="87"/>
      <c r="Y80" s="108"/>
      <c r="Z80" s="7"/>
      <c r="AA80" s="7"/>
      <c r="AB80" s="7"/>
      <c r="AC80" s="7"/>
      <c r="AD80" s="7"/>
      <c r="AE80" s="7"/>
      <c r="AF80" s="7"/>
      <c r="AG80" s="7"/>
      <c r="AH80" s="16"/>
    </row>
    <row r="81" spans="1:34" x14ac:dyDescent="0.2">
      <c r="A81" s="13"/>
      <c r="B81" s="7" t="s">
        <v>16</v>
      </c>
      <c r="C81" s="7"/>
      <c r="D81" s="18"/>
      <c r="E81" s="7"/>
      <c r="F81" s="7" t="s">
        <v>43</v>
      </c>
      <c r="G81" s="101"/>
      <c r="H81" s="94"/>
      <c r="I81" s="87"/>
      <c r="J81" s="124"/>
      <c r="K81" s="79"/>
      <c r="L81" s="79"/>
      <c r="M81" s="79"/>
      <c r="N81" s="79"/>
      <c r="O81" s="79"/>
      <c r="P81" s="101"/>
      <c r="Q81" s="94"/>
      <c r="R81" s="87"/>
      <c r="S81" s="108"/>
      <c r="T81" s="108"/>
      <c r="U81" s="7"/>
      <c r="V81" s="7"/>
      <c r="W81" s="7"/>
      <c r="X81" s="45"/>
      <c r="Y81" s="7"/>
      <c r="Z81" s="7" t="s">
        <v>44</v>
      </c>
      <c r="AA81" s="18"/>
      <c r="AB81" s="7"/>
      <c r="AC81" s="45"/>
      <c r="AD81" s="7"/>
      <c r="AE81" s="7"/>
      <c r="AF81" s="18"/>
      <c r="AG81" s="7"/>
      <c r="AH81" s="16"/>
    </row>
    <row r="82" spans="1:34" x14ac:dyDescent="0.2">
      <c r="A82" s="13"/>
      <c r="B82" s="7"/>
      <c r="C82" s="7"/>
      <c r="D82" s="7"/>
      <c r="E82" s="7"/>
      <c r="F82" s="7"/>
      <c r="G82" s="101"/>
      <c r="H82" s="94"/>
      <c r="I82" s="87"/>
      <c r="J82" s="124"/>
      <c r="K82" s="79"/>
      <c r="L82" s="79"/>
      <c r="M82" s="79"/>
      <c r="N82" s="79"/>
      <c r="O82" s="79"/>
      <c r="P82" s="101"/>
      <c r="Q82" s="94"/>
      <c r="R82" s="87"/>
      <c r="S82" s="108"/>
      <c r="T82" s="108"/>
      <c r="U82" s="7"/>
      <c r="V82" s="7"/>
      <c r="W82" s="7"/>
      <c r="X82" s="38"/>
      <c r="Y82" s="7"/>
      <c r="Z82" s="7"/>
      <c r="AA82" s="7"/>
      <c r="AB82" s="7"/>
      <c r="AC82" s="38"/>
      <c r="AD82" s="7"/>
      <c r="AE82" s="7"/>
      <c r="AF82" s="7"/>
      <c r="AG82" s="7"/>
      <c r="AH82" s="16"/>
    </row>
    <row r="83" spans="1:34" x14ac:dyDescent="0.2">
      <c r="A83" s="13"/>
      <c r="B83" s="40" t="str">
        <f>'Class List'!J8</f>
        <v>MARL VINCENT L. LABITAD, MPA</v>
      </c>
      <c r="C83" s="7"/>
      <c r="D83" s="7"/>
      <c r="E83" s="45"/>
      <c r="F83" s="45" t="s">
        <v>142</v>
      </c>
      <c r="G83" s="102"/>
      <c r="H83" s="95"/>
      <c r="I83" s="88"/>
      <c r="J83" s="124"/>
      <c r="K83" s="80"/>
      <c r="L83" s="80"/>
      <c r="M83" s="80"/>
      <c r="N83" s="80"/>
      <c r="O83" s="80"/>
      <c r="P83" s="102"/>
      <c r="Q83" s="95"/>
      <c r="R83" s="88"/>
      <c r="S83" s="109"/>
      <c r="T83" s="109"/>
      <c r="U83" s="45"/>
      <c r="V83" s="7"/>
      <c r="W83" s="7"/>
      <c r="X83" s="7"/>
      <c r="Y83" s="18"/>
      <c r="Z83" s="18" t="s">
        <v>45</v>
      </c>
      <c r="AA83" s="7"/>
      <c r="AB83" s="7"/>
      <c r="AC83" s="7"/>
      <c r="AD83" s="18"/>
      <c r="AE83" s="7"/>
      <c r="AF83" s="7"/>
      <c r="AG83" s="7"/>
      <c r="AH83" s="16"/>
    </row>
    <row r="84" spans="1:34" x14ac:dyDescent="0.2">
      <c r="A84" s="13"/>
      <c r="B84" s="38" t="s">
        <v>17</v>
      </c>
      <c r="C84" s="7"/>
      <c r="D84" s="38"/>
      <c r="E84" s="38"/>
      <c r="F84" s="38" t="s">
        <v>143</v>
      </c>
      <c r="G84" s="102"/>
      <c r="H84" s="95"/>
      <c r="I84" s="88"/>
      <c r="J84" s="124"/>
      <c r="K84" s="81"/>
      <c r="L84" s="81"/>
      <c r="M84" s="81"/>
      <c r="N84" s="81"/>
      <c r="O84" s="81"/>
      <c r="P84" s="102"/>
      <c r="Q84" s="95"/>
      <c r="R84" s="88"/>
      <c r="S84" s="109"/>
      <c r="T84" s="109"/>
      <c r="U84" s="38"/>
      <c r="V84" s="7"/>
      <c r="W84" s="7"/>
      <c r="X84" s="7"/>
      <c r="Y84" s="7"/>
      <c r="Z84" s="38" t="s">
        <v>46</v>
      </c>
      <c r="AA84" s="7"/>
      <c r="AB84" s="7"/>
      <c r="AC84" s="7"/>
      <c r="AD84" s="7"/>
      <c r="AE84" s="7"/>
      <c r="AF84" s="7"/>
      <c r="AG84" s="7"/>
      <c r="AH84" s="16"/>
    </row>
    <row r="85" spans="1:34" ht="17" thickBot="1" x14ac:dyDescent="0.25">
      <c r="A85" s="14"/>
      <c r="B85" s="15"/>
      <c r="C85" s="15"/>
      <c r="D85" s="15"/>
      <c r="E85" s="15"/>
      <c r="F85" s="82"/>
      <c r="G85" s="82"/>
      <c r="H85" s="82"/>
      <c r="I85" s="82"/>
      <c r="J85" s="82"/>
      <c r="K85" s="82"/>
      <c r="L85" s="103"/>
      <c r="M85" s="96"/>
      <c r="N85" s="89"/>
      <c r="O85" s="110"/>
      <c r="P85" s="82"/>
      <c r="Q85" s="82"/>
      <c r="R85" s="82"/>
      <c r="S85" s="82"/>
      <c r="T85" s="82"/>
      <c r="U85" s="82"/>
      <c r="V85" s="103"/>
      <c r="W85" s="96"/>
      <c r="X85" s="89"/>
      <c r="Y85" s="110"/>
      <c r="Z85" s="15"/>
      <c r="AA85" s="15"/>
      <c r="AB85" s="15"/>
      <c r="AC85" s="15"/>
      <c r="AD85" s="15"/>
      <c r="AE85" s="15"/>
      <c r="AF85" s="15"/>
      <c r="AG85" s="15"/>
      <c r="AH85" s="17"/>
    </row>
    <row r="86" spans="1:34" x14ac:dyDescent="0.2">
      <c r="AD86" s="7"/>
      <c r="AE86" s="7"/>
      <c r="AF86" s="7"/>
      <c r="AG86" s="7"/>
    </row>
    <row r="87" spans="1:34" x14ac:dyDescent="0.2">
      <c r="AD87" s="7"/>
      <c r="AE87" s="7"/>
      <c r="AF87" s="7"/>
      <c r="AG87" s="7"/>
    </row>
  </sheetData>
  <sheetProtection algorithmName="SHA-512" hashValue="IUT37pd+4nRdry4dE6hv5c4k6+t03WiBgGHrkyFaQ3L6bv+ZRmJhX+SAcecTAGkcSAi+yIMtPFXrlHBhdGH8zQ==" saltValue="gcr7vbTV3VfBb3MgAka7ag==" spinCount="100000" sheet="1" formatCells="0" formatColumns="0" formatRows="0" sort="0" autoFilter="0" pivotTables="0"/>
  <mergeCells count="19">
    <mergeCell ref="A8:D8"/>
    <mergeCell ref="E7:AH7"/>
    <mergeCell ref="E8:AH8"/>
    <mergeCell ref="E10:AH10"/>
    <mergeCell ref="A2:AH2"/>
    <mergeCell ref="A3:AH3"/>
    <mergeCell ref="A4:AH4"/>
    <mergeCell ref="A5:AH5"/>
    <mergeCell ref="A7:D7"/>
    <mergeCell ref="A10:D10"/>
    <mergeCell ref="A9:D9"/>
    <mergeCell ref="E9:AH9"/>
    <mergeCell ref="A12:AH12"/>
    <mergeCell ref="A14:E16"/>
    <mergeCell ref="Z14:AC15"/>
    <mergeCell ref="AD14:AG15"/>
    <mergeCell ref="AH14:AH16"/>
    <mergeCell ref="P14:Y15"/>
    <mergeCell ref="F14:O15"/>
  </mergeCells>
  <phoneticPr fontId="25" type="noConversion"/>
  <conditionalFormatting sqref="AH17:AH78">
    <cfRule type="cellIs" dxfId="7" priority="2" operator="greaterThan">
      <formula>3.1</formula>
    </cfRule>
  </conditionalFormatting>
  <printOptions horizontalCentered="1"/>
  <pageMargins left="0.25" right="0.25" top="0.5" bottom="0.25" header="0.25" footer="0.25"/>
  <pageSetup paperSize="14" scale="90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F4F5-1C25-2646-8228-2B7E551046DE}">
  <sheetPr>
    <tabColor rgb="FFE3D3FC"/>
  </sheetPr>
  <dimension ref="A1:AL87"/>
  <sheetViews>
    <sheetView topLeftCell="A60" zoomScaleNormal="100" workbookViewId="0">
      <selection activeCell="K83" sqref="K83:K84"/>
    </sheetView>
  </sheetViews>
  <sheetFormatPr baseColWidth="10" defaultRowHeight="16" x14ac:dyDescent="0.2"/>
  <cols>
    <col min="1" max="1" width="2.83203125" bestFit="1" customWidth="1"/>
    <col min="2" max="2" width="17.5" customWidth="1"/>
    <col min="3" max="3" width="2" bestFit="1" customWidth="1"/>
    <col min="4" max="4" width="18.83203125" customWidth="1"/>
    <col min="5" max="5" width="4" bestFit="1" customWidth="1"/>
    <col min="6" max="11" width="3" style="19" bestFit="1" customWidth="1"/>
    <col min="12" max="12" width="4" style="99" customWidth="1"/>
    <col min="13" max="13" width="4.1640625" style="92" bestFit="1" customWidth="1"/>
    <col min="14" max="14" width="3" style="85" bestFit="1" customWidth="1"/>
    <col min="15" max="15" width="4" style="106" bestFit="1" customWidth="1"/>
    <col min="16" max="21" width="4" style="19" customWidth="1"/>
    <col min="22" max="22" width="4" style="99" customWidth="1"/>
    <col min="23" max="23" width="4" style="92" customWidth="1"/>
    <col min="24" max="24" width="4" style="85" customWidth="1"/>
    <col min="25" max="25" width="4" style="106" customWidth="1"/>
    <col min="26" max="26" width="3.6640625" bestFit="1" customWidth="1"/>
    <col min="27" max="27" width="4.1640625" bestFit="1" customWidth="1"/>
    <col min="28" max="28" width="3.6640625" customWidth="1"/>
    <col min="29" max="29" width="4.83203125" bestFit="1" customWidth="1"/>
    <col min="30" max="30" width="3.6640625" bestFit="1" customWidth="1"/>
    <col min="31" max="33" width="3.6640625" customWidth="1"/>
    <col min="34" max="34" width="9.5" bestFit="1" customWidth="1"/>
    <col min="35" max="35" width="4" bestFit="1" customWidth="1"/>
    <col min="36" max="36" width="7.33203125" customWidth="1"/>
    <col min="37" max="37" width="4" bestFit="1" customWidth="1"/>
    <col min="38" max="38" width="8" customWidth="1"/>
  </cols>
  <sheetData>
    <row r="1" spans="1:38" ht="7" customHeight="1" thickBot="1" x14ac:dyDescent="0.25">
      <c r="A1" s="1"/>
      <c r="B1" s="1"/>
      <c r="C1" s="1"/>
      <c r="D1" s="1"/>
      <c r="E1" s="1"/>
      <c r="F1" s="10"/>
      <c r="G1" s="10"/>
      <c r="H1" s="10"/>
      <c r="I1" s="10"/>
      <c r="J1" s="10"/>
      <c r="K1" s="10"/>
      <c r="L1" s="97"/>
      <c r="M1" s="90"/>
      <c r="N1" s="83"/>
      <c r="O1" s="104"/>
      <c r="P1" s="10"/>
      <c r="Q1" s="10"/>
      <c r="R1" s="10"/>
      <c r="S1" s="10"/>
      <c r="T1" s="10"/>
      <c r="U1" s="10"/>
      <c r="V1" s="97"/>
      <c r="W1" s="90"/>
      <c r="X1" s="83"/>
      <c r="Y1" s="104"/>
      <c r="Z1" s="1"/>
      <c r="AA1" s="1"/>
      <c r="AB1" s="1"/>
      <c r="AC1" s="1"/>
      <c r="AD1" s="1"/>
      <c r="AE1" s="1"/>
      <c r="AF1" s="1"/>
      <c r="AG1" s="1"/>
      <c r="AH1" s="1"/>
    </row>
    <row r="2" spans="1:38" ht="30" x14ac:dyDescent="0.2">
      <c r="A2" s="284" t="s">
        <v>0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6"/>
    </row>
    <row r="3" spans="1:38" ht="18" x14ac:dyDescent="0.2">
      <c r="A3" s="287" t="s">
        <v>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9"/>
    </row>
    <row r="4" spans="1:38" ht="17" thickBot="1" x14ac:dyDescent="0.25">
      <c r="A4" s="302" t="str">
        <f>'Class List'!J6</f>
        <v>First Semester, A.Y. 2026 - 2027</v>
      </c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3"/>
      <c r="AK4" s="303"/>
      <c r="AL4" s="304"/>
    </row>
    <row r="5" spans="1:38" ht="49" thickBot="1" x14ac:dyDescent="0.25">
      <c r="A5" s="293" t="str">
        <f>'Class List'!J7</f>
        <v>Department of Business Management &amp; Entrepreneurship</v>
      </c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5"/>
    </row>
    <row r="6" spans="1:38" ht="5" customHeight="1" thickBot="1" x14ac:dyDescent="0.25">
      <c r="A6" s="8"/>
      <c r="B6" s="2"/>
      <c r="C6" s="2"/>
      <c r="D6" s="2"/>
      <c r="E6" s="2"/>
      <c r="F6" s="77"/>
      <c r="G6" s="77"/>
      <c r="H6" s="77"/>
      <c r="I6" s="77"/>
      <c r="J6" s="77"/>
      <c r="K6" s="77"/>
      <c r="L6" s="98"/>
      <c r="M6" s="91"/>
      <c r="N6" s="84"/>
      <c r="O6" s="105"/>
      <c r="P6" s="77"/>
      <c r="Q6" s="77"/>
      <c r="R6" s="77"/>
      <c r="S6" s="77"/>
      <c r="T6" s="77"/>
      <c r="U6" s="77"/>
      <c r="V6" s="98"/>
      <c r="W6" s="91"/>
      <c r="X6" s="84"/>
      <c r="Y6" s="105"/>
      <c r="Z6" s="3"/>
      <c r="AA6" s="3"/>
      <c r="AB6" s="3"/>
      <c r="AC6" s="3"/>
      <c r="AD6" s="3"/>
      <c r="AE6" s="3"/>
      <c r="AF6" s="3"/>
      <c r="AG6" s="3"/>
      <c r="AH6" s="3"/>
      <c r="AL6" s="12"/>
    </row>
    <row r="7" spans="1:38" ht="19" thickBot="1" x14ac:dyDescent="0.25">
      <c r="A7" s="278" t="s">
        <v>14</v>
      </c>
      <c r="B7" s="279"/>
      <c r="C7" s="279"/>
      <c r="D7" s="280"/>
      <c r="E7" s="281" t="str">
        <f>'Class List'!J8</f>
        <v>MARL VINCENT L. LABITAD, MPA</v>
      </c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3"/>
    </row>
    <row r="8" spans="1:38" ht="17" thickBot="1" x14ac:dyDescent="0.25">
      <c r="A8" s="278" t="s">
        <v>79</v>
      </c>
      <c r="B8" s="279"/>
      <c r="C8" s="279"/>
      <c r="D8" s="280"/>
      <c r="E8" s="305" t="str">
        <f>'Class List'!J9</f>
        <v>ABM 1</v>
      </c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  <c r="AK8" s="306"/>
      <c r="AL8" s="307"/>
    </row>
    <row r="9" spans="1:38" ht="17" thickBot="1" x14ac:dyDescent="0.25">
      <c r="A9" s="278" t="s">
        <v>85</v>
      </c>
      <c r="B9" s="279"/>
      <c r="C9" s="279"/>
      <c r="D9" s="280"/>
      <c r="E9" s="305" t="str">
        <f>'Class List'!J10</f>
        <v>ORGANZIATION AND MANAGEMENT</v>
      </c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7"/>
    </row>
    <row r="10" spans="1:38" ht="17" thickBot="1" x14ac:dyDescent="0.25">
      <c r="A10" s="278" t="s">
        <v>40</v>
      </c>
      <c r="B10" s="279"/>
      <c r="C10" s="279"/>
      <c r="D10" s="280"/>
      <c r="E10" s="305" t="str">
        <f>'Class List'!J11</f>
        <v>MONDAY (9:00-10:30 AM) &amp; WED (7:30-9:00 AM)</v>
      </c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7"/>
    </row>
    <row r="11" spans="1:38" ht="7" customHeight="1" thickBot="1" x14ac:dyDescent="0.25">
      <c r="A11" s="35"/>
      <c r="Z11" s="10"/>
      <c r="AA11" s="10"/>
      <c r="AB11" s="10"/>
      <c r="AC11" s="10"/>
      <c r="AD11" s="1"/>
      <c r="AE11" s="1"/>
      <c r="AF11" s="1"/>
      <c r="AG11" s="1"/>
      <c r="AH11" s="1"/>
      <c r="AL11" s="12"/>
    </row>
    <row r="12" spans="1:38" ht="36" thickBot="1" x14ac:dyDescent="0.25">
      <c r="A12" s="253" t="s">
        <v>34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5"/>
    </row>
    <row r="13" spans="1:38" ht="5" customHeight="1" thickBot="1" x14ac:dyDescent="0.25">
      <c r="A13" s="37"/>
      <c r="B13" s="1"/>
      <c r="C13" s="1"/>
      <c r="D13" s="1"/>
      <c r="E13" s="1"/>
      <c r="F13" s="10"/>
      <c r="G13" s="10"/>
      <c r="H13" s="10"/>
      <c r="I13" s="10"/>
      <c r="J13" s="10"/>
      <c r="K13" s="10"/>
      <c r="L13" s="97"/>
      <c r="M13" s="90"/>
      <c r="N13" s="83"/>
      <c r="O13" s="104"/>
      <c r="P13" s="10"/>
      <c r="Q13" s="10"/>
      <c r="R13" s="10"/>
      <c r="S13" s="10"/>
      <c r="T13" s="10"/>
      <c r="U13" s="10"/>
      <c r="V13" s="97"/>
      <c r="W13" s="90"/>
      <c r="X13" s="83"/>
      <c r="Y13" s="104"/>
      <c r="Z13" s="10"/>
      <c r="AA13" s="10"/>
      <c r="AB13" s="10"/>
      <c r="AC13" s="10"/>
      <c r="AD13" s="1"/>
      <c r="AE13" s="1"/>
      <c r="AF13" s="1"/>
      <c r="AG13" s="1"/>
      <c r="AH13" s="31"/>
      <c r="AL13" s="12"/>
    </row>
    <row r="14" spans="1:38" ht="33" customHeight="1" x14ac:dyDescent="0.2">
      <c r="A14" s="256" t="s">
        <v>2</v>
      </c>
      <c r="B14" s="257"/>
      <c r="C14" s="257"/>
      <c r="D14" s="257"/>
      <c r="E14" s="258"/>
      <c r="F14" s="271" t="s">
        <v>50</v>
      </c>
      <c r="G14" s="272"/>
      <c r="H14" s="272"/>
      <c r="I14" s="272"/>
      <c r="J14" s="272"/>
      <c r="K14" s="273"/>
      <c r="L14" s="273"/>
      <c r="M14" s="273"/>
      <c r="N14" s="273"/>
      <c r="O14" s="274"/>
      <c r="P14" s="271" t="s">
        <v>64</v>
      </c>
      <c r="Q14" s="272"/>
      <c r="R14" s="272"/>
      <c r="S14" s="272"/>
      <c r="T14" s="272"/>
      <c r="U14" s="273"/>
      <c r="V14" s="273"/>
      <c r="W14" s="273"/>
      <c r="X14" s="273"/>
      <c r="Y14" s="274"/>
      <c r="Z14" s="262" t="s">
        <v>65</v>
      </c>
      <c r="AA14" s="263"/>
      <c r="AB14" s="263"/>
      <c r="AC14" s="263"/>
      <c r="AD14" s="266" t="s">
        <v>51</v>
      </c>
      <c r="AE14" s="262"/>
      <c r="AF14" s="262"/>
      <c r="AG14" s="262"/>
      <c r="AH14" s="268" t="s">
        <v>35</v>
      </c>
      <c r="AI14" s="296" t="s">
        <v>124</v>
      </c>
      <c r="AJ14" s="299" t="s">
        <v>11</v>
      </c>
      <c r="AK14" s="296" t="s">
        <v>124</v>
      </c>
      <c r="AL14" s="299" t="s">
        <v>36</v>
      </c>
    </row>
    <row r="15" spans="1:38" ht="17" thickBot="1" x14ac:dyDescent="0.25">
      <c r="A15" s="259"/>
      <c r="B15" s="260"/>
      <c r="C15" s="260"/>
      <c r="D15" s="260"/>
      <c r="E15" s="261"/>
      <c r="F15" s="275"/>
      <c r="G15" s="276"/>
      <c r="H15" s="276"/>
      <c r="I15" s="276"/>
      <c r="J15" s="276"/>
      <c r="K15" s="276"/>
      <c r="L15" s="276"/>
      <c r="M15" s="276"/>
      <c r="N15" s="276"/>
      <c r="O15" s="277"/>
      <c r="P15" s="275"/>
      <c r="Q15" s="276"/>
      <c r="R15" s="276"/>
      <c r="S15" s="276"/>
      <c r="T15" s="276"/>
      <c r="U15" s="276"/>
      <c r="V15" s="276"/>
      <c r="W15" s="276"/>
      <c r="X15" s="276"/>
      <c r="Y15" s="277"/>
      <c r="Z15" s="264"/>
      <c r="AA15" s="265"/>
      <c r="AB15" s="265"/>
      <c r="AC15" s="265"/>
      <c r="AD15" s="267"/>
      <c r="AE15" s="264"/>
      <c r="AF15" s="264"/>
      <c r="AG15" s="264"/>
      <c r="AH15" s="269"/>
      <c r="AI15" s="297"/>
      <c r="AJ15" s="300"/>
      <c r="AK15" s="297"/>
      <c r="AL15" s="300"/>
    </row>
    <row r="16" spans="1:38" ht="17" thickBot="1" x14ac:dyDescent="0.25">
      <c r="A16" s="259"/>
      <c r="B16" s="260"/>
      <c r="C16" s="260"/>
      <c r="D16" s="260"/>
      <c r="E16" s="261"/>
      <c r="F16" s="183" t="s">
        <v>52</v>
      </c>
      <c r="G16" s="184" t="s">
        <v>53</v>
      </c>
      <c r="H16" s="184" t="s">
        <v>54</v>
      </c>
      <c r="I16" s="184" t="s">
        <v>55</v>
      </c>
      <c r="J16" s="184" t="s">
        <v>56</v>
      </c>
      <c r="K16" s="185" t="s">
        <v>57</v>
      </c>
      <c r="L16" s="186" t="s">
        <v>48</v>
      </c>
      <c r="M16" s="187" t="s">
        <v>4</v>
      </c>
      <c r="N16" s="188" t="s">
        <v>5</v>
      </c>
      <c r="O16" s="189">
        <v>0.15</v>
      </c>
      <c r="P16" s="183" t="s">
        <v>58</v>
      </c>
      <c r="Q16" s="184" t="s">
        <v>59</v>
      </c>
      <c r="R16" s="184" t="s">
        <v>60</v>
      </c>
      <c r="S16" s="184" t="s">
        <v>61</v>
      </c>
      <c r="T16" s="184" t="s">
        <v>62</v>
      </c>
      <c r="U16" s="184" t="s">
        <v>138</v>
      </c>
      <c r="V16" s="186" t="s">
        <v>48</v>
      </c>
      <c r="W16" s="187" t="s">
        <v>4</v>
      </c>
      <c r="X16" s="188" t="s">
        <v>5</v>
      </c>
      <c r="Y16" s="189">
        <v>0.35</v>
      </c>
      <c r="Z16" s="183" t="s">
        <v>63</v>
      </c>
      <c r="AA16" s="190" t="s">
        <v>4</v>
      </c>
      <c r="AB16" s="191" t="s">
        <v>5</v>
      </c>
      <c r="AC16" s="231">
        <v>0.25</v>
      </c>
      <c r="AD16" s="193" t="s">
        <v>49</v>
      </c>
      <c r="AE16" s="194" t="s">
        <v>4</v>
      </c>
      <c r="AF16" s="195" t="s">
        <v>5</v>
      </c>
      <c r="AG16" s="196">
        <v>0.25</v>
      </c>
      <c r="AH16" s="270"/>
      <c r="AI16" s="298"/>
      <c r="AJ16" s="301"/>
      <c r="AK16" s="298"/>
      <c r="AL16" s="301"/>
    </row>
    <row r="17" spans="1:38" ht="17" thickBot="1" x14ac:dyDescent="0.25">
      <c r="A17" s="53" t="s">
        <v>6</v>
      </c>
      <c r="B17" s="54" t="s">
        <v>7</v>
      </c>
      <c r="C17" s="55" t="s">
        <v>8</v>
      </c>
      <c r="D17" s="56" t="s">
        <v>9</v>
      </c>
      <c r="E17" s="57" t="s">
        <v>15</v>
      </c>
      <c r="F17" s="197">
        <v>10</v>
      </c>
      <c r="G17" s="198">
        <v>10</v>
      </c>
      <c r="H17" s="198">
        <v>10</v>
      </c>
      <c r="I17" s="198"/>
      <c r="J17" s="198"/>
      <c r="K17" s="199"/>
      <c r="L17" s="200">
        <f>SUM(F17:K17)</f>
        <v>30</v>
      </c>
      <c r="M17" s="201">
        <f>(L17/$L$17)*100</f>
        <v>100</v>
      </c>
      <c r="N17" s="202" t="str">
        <f>LOOKUP(M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O17" s="203">
        <f>N17*$O$16</f>
        <v>0.15</v>
      </c>
      <c r="P17" s="197">
        <v>20</v>
      </c>
      <c r="Q17" s="198">
        <v>20</v>
      </c>
      <c r="R17" s="198"/>
      <c r="S17" s="198"/>
      <c r="T17" s="198"/>
      <c r="U17" s="199"/>
      <c r="V17" s="200">
        <f>SUM(P17:U17)</f>
        <v>40</v>
      </c>
      <c r="W17" s="201">
        <f>(V17/$V$17)*100</f>
        <v>100</v>
      </c>
      <c r="X17" s="202" t="str">
        <f>LOOKUP(W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Y17" s="203">
        <f>X17*$Y$16</f>
        <v>0.35</v>
      </c>
      <c r="Z17" s="204">
        <v>100</v>
      </c>
      <c r="AA17" s="205">
        <f>(Z17/$Z$17)*100</f>
        <v>100</v>
      </c>
      <c r="AB17" s="206" t="str">
        <f>LOOKUP(AA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AC17" s="189">
        <f>AB17*$AC$16</f>
        <v>0.25</v>
      </c>
      <c r="AD17" s="197">
        <v>100</v>
      </c>
      <c r="AE17" s="207">
        <f>(AD17/$AD$17)*100</f>
        <v>100</v>
      </c>
      <c r="AF17" s="195" t="str">
        <f>LOOKUP(AE17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1.0</v>
      </c>
      <c r="AG17" s="208">
        <f>AF17*$AG$16</f>
        <v>0.25</v>
      </c>
      <c r="AH17" s="32">
        <f>AG17+AC17+Y17+O17</f>
        <v>1</v>
      </c>
      <c r="AI17" s="24">
        <f>(AH17*1)/2</f>
        <v>0.5</v>
      </c>
      <c r="AJ17" s="4">
        <f>PRELIM!AH17</f>
        <v>1</v>
      </c>
      <c r="AK17" s="25">
        <f>(AJ17)/2</f>
        <v>0.5</v>
      </c>
      <c r="AL17" s="6">
        <f>SUM(AK17+AI17)</f>
        <v>1</v>
      </c>
    </row>
    <row r="18" spans="1:38" ht="17" thickBot="1" x14ac:dyDescent="0.25">
      <c r="A18" s="53"/>
      <c r="B18" s="58"/>
      <c r="C18" s="55"/>
      <c r="D18" s="56"/>
      <c r="E18" s="59"/>
      <c r="F18" s="197"/>
      <c r="G18" s="198"/>
      <c r="H18" s="198"/>
      <c r="I18" s="198"/>
      <c r="J18" s="198"/>
      <c r="K18" s="199"/>
      <c r="L18" s="200"/>
      <c r="M18" s="201"/>
      <c r="N18" s="202"/>
      <c r="O18" s="203"/>
      <c r="P18" s="197"/>
      <c r="Q18" s="198"/>
      <c r="R18" s="198"/>
      <c r="S18" s="198"/>
      <c r="T18" s="198"/>
      <c r="U18" s="199"/>
      <c r="V18" s="200"/>
      <c r="W18" s="201"/>
      <c r="X18" s="202"/>
      <c r="Y18" s="203"/>
      <c r="Z18" s="209"/>
      <c r="AA18" s="205"/>
      <c r="AB18" s="206"/>
      <c r="AC18" s="189"/>
      <c r="AD18" s="197"/>
      <c r="AE18" s="207"/>
      <c r="AF18" s="195"/>
      <c r="AG18" s="208"/>
      <c r="AH18" s="32"/>
      <c r="AI18" s="24"/>
      <c r="AJ18" s="4"/>
      <c r="AK18" s="25"/>
      <c r="AL18" s="6"/>
    </row>
    <row r="19" spans="1:38" x14ac:dyDescent="0.2">
      <c r="A19" s="60">
        <f>'Class List'!A3</f>
        <v>1</v>
      </c>
      <c r="B19" s="68" t="str">
        <f>'Class List'!B3</f>
        <v>BACALSO</v>
      </c>
      <c r="C19" s="69" t="str">
        <f>'Class List'!C3</f>
        <v>,</v>
      </c>
      <c r="D19" s="69" t="str">
        <f>'Class List'!D3</f>
        <v>HELEN</v>
      </c>
      <c r="E19" s="70" t="str">
        <f>'Class List'!E3</f>
        <v>S.</v>
      </c>
      <c r="F19" s="210"/>
      <c r="G19" s="211"/>
      <c r="H19" s="211"/>
      <c r="I19" s="211"/>
      <c r="J19" s="211"/>
      <c r="K19" s="212"/>
      <c r="L19" s="200">
        <f t="shared" ref="L19:L20" si="0">SUM(F19:K19)</f>
        <v>0</v>
      </c>
      <c r="M19" s="201">
        <f t="shared" ref="M19:M78" si="1">(L19/$L$17)*100</f>
        <v>0</v>
      </c>
      <c r="N19" s="202" t="str">
        <f>LOOKUP(M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19" s="203">
        <f t="shared" ref="O19:O78" si="2">N19*$O$16</f>
        <v>0.6</v>
      </c>
      <c r="P19" s="210"/>
      <c r="Q19" s="211"/>
      <c r="R19" s="211"/>
      <c r="S19" s="211"/>
      <c r="T19" s="211"/>
      <c r="U19" s="212"/>
      <c r="V19" s="200">
        <f t="shared" ref="V19:V20" si="3">SUM(P19:U19)</f>
        <v>0</v>
      </c>
      <c r="W19" s="201">
        <f t="shared" ref="W19:W78" si="4">(V19/$V$17)*100</f>
        <v>0</v>
      </c>
      <c r="X19" s="202" t="str">
        <f>LOOKUP(W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19" s="203">
        <f t="shared" ref="Y19:Y78" si="5">X19*$Y$16</f>
        <v>1.4</v>
      </c>
      <c r="Z19" s="213"/>
      <c r="AA19" s="205">
        <f t="shared" ref="AA19:AA78" si="6">(Z19/$Z$17)*100</f>
        <v>0</v>
      </c>
      <c r="AB19" s="206" t="str">
        <f>LOOKUP(AA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19" s="189">
        <f t="shared" ref="AC19:AC78" si="7">AB19*$AC$16</f>
        <v>1</v>
      </c>
      <c r="AD19" s="210"/>
      <c r="AE19" s="207">
        <f t="shared" ref="AE19:AE78" si="8">(AD19/$AD$17)*100</f>
        <v>0</v>
      </c>
      <c r="AF19" s="195" t="str">
        <f>LOOKUP(AE19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19" s="208">
        <f t="shared" ref="AG19:AG78" si="9">AF19*$AG$16</f>
        <v>1</v>
      </c>
      <c r="AH19" s="32">
        <f t="shared" ref="AH19:AH20" si="10">AG19+AC19+Y19+O19</f>
        <v>4</v>
      </c>
      <c r="AI19" s="178">
        <f t="shared" ref="AI19:AI78" si="11">(AH19*1)/2</f>
        <v>2</v>
      </c>
      <c r="AJ19" s="4">
        <f>PRELIM!AH19</f>
        <v>4</v>
      </c>
      <c r="AK19" s="178">
        <f t="shared" ref="AK19:AK78" si="12">(AJ19)/2</f>
        <v>2</v>
      </c>
      <c r="AL19" s="6">
        <f t="shared" ref="AL19:AL20" si="13">SUM(AK19+AI19)</f>
        <v>4</v>
      </c>
    </row>
    <row r="20" spans="1:38" x14ac:dyDescent="0.2">
      <c r="A20" s="61">
        <f>'Class List'!A4</f>
        <v>2</v>
      </c>
      <c r="B20" s="71">
        <f>'Class List'!B4</f>
        <v>0</v>
      </c>
      <c r="C20" s="72" t="str">
        <f>'Class List'!C4</f>
        <v>,</v>
      </c>
      <c r="D20" s="72">
        <f>'Class List'!D4</f>
        <v>0</v>
      </c>
      <c r="E20" s="73">
        <f>'Class List'!E4</f>
        <v>0</v>
      </c>
      <c r="F20" s="214"/>
      <c r="G20" s="215"/>
      <c r="H20" s="215"/>
      <c r="I20" s="215"/>
      <c r="J20" s="215"/>
      <c r="K20" s="216"/>
      <c r="L20" s="217">
        <f t="shared" si="0"/>
        <v>0</v>
      </c>
      <c r="M20" s="218">
        <f t="shared" si="1"/>
        <v>0</v>
      </c>
      <c r="N20" s="219" t="str">
        <f>LOOKUP(M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0" s="220">
        <f t="shared" si="2"/>
        <v>0.6</v>
      </c>
      <c r="P20" s="214"/>
      <c r="Q20" s="215"/>
      <c r="R20" s="215"/>
      <c r="S20" s="215"/>
      <c r="T20" s="215"/>
      <c r="U20" s="216"/>
      <c r="V20" s="217">
        <f t="shared" si="3"/>
        <v>0</v>
      </c>
      <c r="W20" s="218">
        <f t="shared" si="4"/>
        <v>0</v>
      </c>
      <c r="X20" s="219" t="str">
        <f>LOOKUP(W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0" s="220">
        <f t="shared" si="5"/>
        <v>1.4</v>
      </c>
      <c r="Z20" s="221"/>
      <c r="AA20" s="222">
        <f t="shared" si="6"/>
        <v>0</v>
      </c>
      <c r="AB20" s="223" t="str">
        <f>LOOKUP(AA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0" s="224">
        <f t="shared" si="7"/>
        <v>1</v>
      </c>
      <c r="AD20" s="214"/>
      <c r="AE20" s="225">
        <f t="shared" si="8"/>
        <v>0</v>
      </c>
      <c r="AF20" s="219" t="str">
        <f>LOOKUP(AE20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0" s="226">
        <f t="shared" si="9"/>
        <v>1</v>
      </c>
      <c r="AH20" s="34">
        <f t="shared" si="10"/>
        <v>4</v>
      </c>
      <c r="AI20" s="177">
        <f t="shared" si="11"/>
        <v>2</v>
      </c>
      <c r="AJ20" s="5">
        <f>PRELIM!AH20</f>
        <v>4</v>
      </c>
      <c r="AK20" s="179">
        <f t="shared" si="12"/>
        <v>2</v>
      </c>
      <c r="AL20" s="23">
        <f t="shared" si="13"/>
        <v>4</v>
      </c>
    </row>
    <row r="21" spans="1:38" x14ac:dyDescent="0.2">
      <c r="A21" s="61">
        <f>'Class List'!A5</f>
        <v>3</v>
      </c>
      <c r="B21" s="71">
        <f>'Class List'!B5</f>
        <v>0</v>
      </c>
      <c r="C21" s="72" t="str">
        <f>'Class List'!C5</f>
        <v>,</v>
      </c>
      <c r="D21" s="72">
        <f>'Class List'!D5</f>
        <v>0</v>
      </c>
      <c r="E21" s="73">
        <f>'Class List'!E5</f>
        <v>0</v>
      </c>
      <c r="F21" s="214"/>
      <c r="G21" s="215"/>
      <c r="H21" s="215"/>
      <c r="I21" s="215"/>
      <c r="J21" s="215"/>
      <c r="K21" s="216"/>
      <c r="L21" s="217">
        <f t="shared" ref="L21:L78" si="14">SUM(F21:K21)</f>
        <v>0</v>
      </c>
      <c r="M21" s="218">
        <f t="shared" si="1"/>
        <v>0</v>
      </c>
      <c r="N21" s="219" t="str">
        <f>LOOKUP(M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1" s="220">
        <f t="shared" si="2"/>
        <v>0.6</v>
      </c>
      <c r="P21" s="214"/>
      <c r="Q21" s="215"/>
      <c r="R21" s="215"/>
      <c r="S21" s="215"/>
      <c r="T21" s="215"/>
      <c r="U21" s="216"/>
      <c r="V21" s="217">
        <f t="shared" ref="V21:V78" si="15">SUM(P21:U21)</f>
        <v>0</v>
      </c>
      <c r="W21" s="218">
        <f t="shared" si="4"/>
        <v>0</v>
      </c>
      <c r="X21" s="219" t="str">
        <f>LOOKUP(W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1" s="220">
        <f t="shared" si="5"/>
        <v>1.4</v>
      </c>
      <c r="Z21" s="221"/>
      <c r="AA21" s="222">
        <f t="shared" si="6"/>
        <v>0</v>
      </c>
      <c r="AB21" s="223" t="str">
        <f>LOOKUP(AA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1" s="224">
        <f t="shared" si="7"/>
        <v>1</v>
      </c>
      <c r="AD21" s="214"/>
      <c r="AE21" s="225">
        <f t="shared" si="8"/>
        <v>0</v>
      </c>
      <c r="AF21" s="219" t="str">
        <f>LOOKUP(AE21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1" s="226">
        <f t="shared" si="9"/>
        <v>1</v>
      </c>
      <c r="AH21" s="34">
        <f t="shared" ref="AH21:AH78" si="16">AG21+AC21+Y21+O21</f>
        <v>4</v>
      </c>
      <c r="AI21" s="177">
        <f t="shared" si="11"/>
        <v>2</v>
      </c>
      <c r="AJ21" s="5">
        <f>PRELIM!AH21</f>
        <v>4</v>
      </c>
      <c r="AK21" s="179">
        <f t="shared" si="12"/>
        <v>2</v>
      </c>
      <c r="AL21" s="23">
        <f t="shared" ref="AL21:AL78" si="17">SUM(AK21+AI21)</f>
        <v>4</v>
      </c>
    </row>
    <row r="22" spans="1:38" x14ac:dyDescent="0.2">
      <c r="A22" s="61">
        <f>'Class List'!A6</f>
        <v>4</v>
      </c>
      <c r="B22" s="71">
        <f>'Class List'!B6</f>
        <v>0</v>
      </c>
      <c r="C22" s="72" t="str">
        <f>'Class List'!C6</f>
        <v>,</v>
      </c>
      <c r="D22" s="72">
        <f>'Class List'!D6</f>
        <v>0</v>
      </c>
      <c r="E22" s="73">
        <f>'Class List'!E6</f>
        <v>0</v>
      </c>
      <c r="F22" s="214"/>
      <c r="G22" s="215"/>
      <c r="H22" s="215"/>
      <c r="I22" s="215"/>
      <c r="J22" s="215"/>
      <c r="K22" s="216"/>
      <c r="L22" s="217">
        <f t="shared" si="14"/>
        <v>0</v>
      </c>
      <c r="M22" s="218">
        <f t="shared" si="1"/>
        <v>0</v>
      </c>
      <c r="N22" s="219" t="str">
        <f>LOOKUP(M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2" s="220">
        <f t="shared" si="2"/>
        <v>0.6</v>
      </c>
      <c r="P22" s="214"/>
      <c r="Q22" s="215"/>
      <c r="R22" s="215"/>
      <c r="S22" s="215"/>
      <c r="T22" s="215"/>
      <c r="U22" s="216"/>
      <c r="V22" s="217">
        <f t="shared" si="15"/>
        <v>0</v>
      </c>
      <c r="W22" s="218">
        <f t="shared" si="4"/>
        <v>0</v>
      </c>
      <c r="X22" s="219" t="str">
        <f>LOOKUP(W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2" s="220">
        <f t="shared" si="5"/>
        <v>1.4</v>
      </c>
      <c r="Z22" s="221"/>
      <c r="AA22" s="222">
        <f t="shared" si="6"/>
        <v>0</v>
      </c>
      <c r="AB22" s="223" t="str">
        <f>LOOKUP(AA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2" s="224">
        <f t="shared" si="7"/>
        <v>1</v>
      </c>
      <c r="AD22" s="214"/>
      <c r="AE22" s="225">
        <f t="shared" si="8"/>
        <v>0</v>
      </c>
      <c r="AF22" s="219" t="str">
        <f>LOOKUP(AE22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2" s="226">
        <f t="shared" si="9"/>
        <v>1</v>
      </c>
      <c r="AH22" s="34">
        <f t="shared" si="16"/>
        <v>4</v>
      </c>
      <c r="AI22" s="177">
        <f t="shared" si="11"/>
        <v>2</v>
      </c>
      <c r="AJ22" s="5">
        <f>PRELIM!AH22</f>
        <v>4</v>
      </c>
      <c r="AK22" s="179">
        <f t="shared" si="12"/>
        <v>2</v>
      </c>
      <c r="AL22" s="23">
        <f t="shared" si="17"/>
        <v>4</v>
      </c>
    </row>
    <row r="23" spans="1:38" x14ac:dyDescent="0.2">
      <c r="A23" s="61">
        <f>'Class List'!A7</f>
        <v>5</v>
      </c>
      <c r="B23" s="71">
        <f>'Class List'!B7</f>
        <v>0</v>
      </c>
      <c r="C23" s="72" t="str">
        <f>'Class List'!C7</f>
        <v>,</v>
      </c>
      <c r="D23" s="72">
        <f>'Class List'!D7</f>
        <v>0</v>
      </c>
      <c r="E23" s="73">
        <f>'Class List'!E7</f>
        <v>0</v>
      </c>
      <c r="F23" s="214"/>
      <c r="G23" s="215"/>
      <c r="H23" s="215"/>
      <c r="I23" s="215"/>
      <c r="J23" s="215"/>
      <c r="K23" s="216"/>
      <c r="L23" s="217">
        <f t="shared" si="14"/>
        <v>0</v>
      </c>
      <c r="M23" s="218">
        <f t="shared" si="1"/>
        <v>0</v>
      </c>
      <c r="N23" s="219" t="str">
        <f>LOOKUP(M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3" s="220">
        <f t="shared" si="2"/>
        <v>0.6</v>
      </c>
      <c r="P23" s="214"/>
      <c r="Q23" s="215"/>
      <c r="R23" s="215"/>
      <c r="S23" s="215"/>
      <c r="T23" s="215"/>
      <c r="U23" s="216"/>
      <c r="V23" s="217">
        <f t="shared" si="15"/>
        <v>0</v>
      </c>
      <c r="W23" s="218">
        <f t="shared" si="4"/>
        <v>0</v>
      </c>
      <c r="X23" s="219" t="str">
        <f>LOOKUP(W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3" s="220">
        <f t="shared" si="5"/>
        <v>1.4</v>
      </c>
      <c r="Z23" s="221"/>
      <c r="AA23" s="222">
        <f t="shared" si="6"/>
        <v>0</v>
      </c>
      <c r="AB23" s="223" t="str">
        <f>LOOKUP(AA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3" s="224">
        <f t="shared" si="7"/>
        <v>1</v>
      </c>
      <c r="AD23" s="214"/>
      <c r="AE23" s="225">
        <f t="shared" si="8"/>
        <v>0</v>
      </c>
      <c r="AF23" s="219" t="str">
        <f>LOOKUP(AE23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3" s="226">
        <f t="shared" si="9"/>
        <v>1</v>
      </c>
      <c r="AH23" s="34">
        <f t="shared" si="16"/>
        <v>4</v>
      </c>
      <c r="AI23" s="177">
        <f t="shared" si="11"/>
        <v>2</v>
      </c>
      <c r="AJ23" s="5">
        <f>PRELIM!AH23</f>
        <v>4</v>
      </c>
      <c r="AK23" s="179">
        <f t="shared" si="12"/>
        <v>2</v>
      </c>
      <c r="AL23" s="23">
        <f t="shared" si="17"/>
        <v>4</v>
      </c>
    </row>
    <row r="24" spans="1:38" x14ac:dyDescent="0.2">
      <c r="A24" s="61">
        <f>'Class List'!A8</f>
        <v>6</v>
      </c>
      <c r="B24" s="71">
        <f>'Class List'!B8</f>
        <v>0</v>
      </c>
      <c r="C24" s="72" t="str">
        <f>'Class List'!C8</f>
        <v>,</v>
      </c>
      <c r="D24" s="72">
        <f>'Class List'!D8</f>
        <v>0</v>
      </c>
      <c r="E24" s="73">
        <f>'Class List'!E8</f>
        <v>0</v>
      </c>
      <c r="F24" s="214"/>
      <c r="G24" s="215"/>
      <c r="H24" s="215"/>
      <c r="I24" s="215"/>
      <c r="J24" s="215"/>
      <c r="K24" s="216"/>
      <c r="L24" s="217">
        <f t="shared" si="14"/>
        <v>0</v>
      </c>
      <c r="M24" s="218">
        <f t="shared" si="1"/>
        <v>0</v>
      </c>
      <c r="N24" s="219" t="str">
        <f>LOOKUP(M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4" s="220">
        <f t="shared" si="2"/>
        <v>0.6</v>
      </c>
      <c r="P24" s="214"/>
      <c r="Q24" s="215"/>
      <c r="R24" s="215"/>
      <c r="S24" s="215"/>
      <c r="T24" s="215"/>
      <c r="U24" s="216"/>
      <c r="V24" s="217">
        <f t="shared" si="15"/>
        <v>0</v>
      </c>
      <c r="W24" s="218">
        <f t="shared" si="4"/>
        <v>0</v>
      </c>
      <c r="X24" s="219" t="str">
        <f>LOOKUP(W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4" s="220">
        <f t="shared" si="5"/>
        <v>1.4</v>
      </c>
      <c r="Z24" s="221"/>
      <c r="AA24" s="222">
        <f t="shared" si="6"/>
        <v>0</v>
      </c>
      <c r="AB24" s="223" t="str">
        <f>LOOKUP(AA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4" s="224">
        <f t="shared" si="7"/>
        <v>1</v>
      </c>
      <c r="AD24" s="214"/>
      <c r="AE24" s="225">
        <f t="shared" si="8"/>
        <v>0</v>
      </c>
      <c r="AF24" s="219" t="str">
        <f>LOOKUP(AE24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4" s="226">
        <f t="shared" si="9"/>
        <v>1</v>
      </c>
      <c r="AH24" s="34">
        <f t="shared" si="16"/>
        <v>4</v>
      </c>
      <c r="AI24" s="177">
        <f t="shared" si="11"/>
        <v>2</v>
      </c>
      <c r="AJ24" s="5">
        <f>PRELIM!AH24</f>
        <v>4</v>
      </c>
      <c r="AK24" s="179">
        <f t="shared" si="12"/>
        <v>2</v>
      </c>
      <c r="AL24" s="23">
        <f t="shared" si="17"/>
        <v>4</v>
      </c>
    </row>
    <row r="25" spans="1:38" x14ac:dyDescent="0.2">
      <c r="A25" s="61">
        <f>'Class List'!A9</f>
        <v>7</v>
      </c>
      <c r="B25" s="71">
        <f>'Class List'!B9</f>
        <v>0</v>
      </c>
      <c r="C25" s="72" t="str">
        <f>'Class List'!C9</f>
        <v>,</v>
      </c>
      <c r="D25" s="72">
        <f>'Class List'!D9</f>
        <v>0</v>
      </c>
      <c r="E25" s="73">
        <f>'Class List'!E9</f>
        <v>0</v>
      </c>
      <c r="F25" s="214"/>
      <c r="G25" s="215"/>
      <c r="H25" s="215" t="s">
        <v>128</v>
      </c>
      <c r="I25" s="215"/>
      <c r="J25" s="215"/>
      <c r="K25" s="216"/>
      <c r="L25" s="217">
        <f t="shared" si="14"/>
        <v>0</v>
      </c>
      <c r="M25" s="218">
        <f t="shared" si="1"/>
        <v>0</v>
      </c>
      <c r="N25" s="219" t="str">
        <f>LOOKUP(M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5" s="220">
        <f t="shared" si="2"/>
        <v>0.6</v>
      </c>
      <c r="P25" s="214"/>
      <c r="Q25" s="215"/>
      <c r="R25" s="215"/>
      <c r="S25" s="215"/>
      <c r="T25" s="215"/>
      <c r="U25" s="216"/>
      <c r="V25" s="217">
        <f t="shared" si="15"/>
        <v>0</v>
      </c>
      <c r="W25" s="218">
        <f t="shared" si="4"/>
        <v>0</v>
      </c>
      <c r="X25" s="219" t="str">
        <f>LOOKUP(W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5" s="220">
        <f t="shared" si="5"/>
        <v>1.4</v>
      </c>
      <c r="Z25" s="221"/>
      <c r="AA25" s="222">
        <f t="shared" si="6"/>
        <v>0</v>
      </c>
      <c r="AB25" s="223" t="str">
        <f>LOOKUP(AA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5" s="224">
        <f t="shared" si="7"/>
        <v>1</v>
      </c>
      <c r="AD25" s="214"/>
      <c r="AE25" s="225">
        <f t="shared" si="8"/>
        <v>0</v>
      </c>
      <c r="AF25" s="219" t="str">
        <f>LOOKUP(AE25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5" s="226">
        <f t="shared" si="9"/>
        <v>1</v>
      </c>
      <c r="AH25" s="34">
        <f t="shared" si="16"/>
        <v>4</v>
      </c>
      <c r="AI25" s="177">
        <f t="shared" si="11"/>
        <v>2</v>
      </c>
      <c r="AJ25" s="5">
        <f>PRELIM!AH25</f>
        <v>4</v>
      </c>
      <c r="AK25" s="179">
        <f t="shared" si="12"/>
        <v>2</v>
      </c>
      <c r="AL25" s="23">
        <f t="shared" si="17"/>
        <v>4</v>
      </c>
    </row>
    <row r="26" spans="1:38" x14ac:dyDescent="0.2">
      <c r="A26" s="61">
        <f>'Class List'!A10</f>
        <v>8</v>
      </c>
      <c r="B26" s="71">
        <f>'Class List'!B10</f>
        <v>0</v>
      </c>
      <c r="C26" s="72" t="str">
        <f>'Class List'!C10</f>
        <v>,</v>
      </c>
      <c r="D26" s="72">
        <f>'Class List'!D10</f>
        <v>0</v>
      </c>
      <c r="E26" s="73">
        <f>'Class List'!E10</f>
        <v>0</v>
      </c>
      <c r="F26" s="214"/>
      <c r="G26" s="215"/>
      <c r="H26" s="215"/>
      <c r="I26" s="215"/>
      <c r="J26" s="215"/>
      <c r="K26" s="216"/>
      <c r="L26" s="217">
        <f t="shared" si="14"/>
        <v>0</v>
      </c>
      <c r="M26" s="218">
        <f t="shared" si="1"/>
        <v>0</v>
      </c>
      <c r="N26" s="219" t="str">
        <f>LOOKUP(M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6" s="220">
        <f t="shared" si="2"/>
        <v>0.6</v>
      </c>
      <c r="P26" s="214"/>
      <c r="Q26" s="215"/>
      <c r="R26" s="215"/>
      <c r="S26" s="215"/>
      <c r="T26" s="215"/>
      <c r="U26" s="216"/>
      <c r="V26" s="217">
        <f t="shared" si="15"/>
        <v>0</v>
      </c>
      <c r="W26" s="218">
        <f t="shared" si="4"/>
        <v>0</v>
      </c>
      <c r="X26" s="219" t="str">
        <f>LOOKUP(W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6" s="220">
        <f t="shared" si="5"/>
        <v>1.4</v>
      </c>
      <c r="Z26" s="221"/>
      <c r="AA26" s="222">
        <f t="shared" si="6"/>
        <v>0</v>
      </c>
      <c r="AB26" s="223" t="str">
        <f>LOOKUP(AA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6" s="224">
        <f t="shared" si="7"/>
        <v>1</v>
      </c>
      <c r="AD26" s="214"/>
      <c r="AE26" s="225">
        <f t="shared" si="8"/>
        <v>0</v>
      </c>
      <c r="AF26" s="219" t="str">
        <f>LOOKUP(AE26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6" s="226">
        <f t="shared" si="9"/>
        <v>1</v>
      </c>
      <c r="AH26" s="34">
        <f t="shared" si="16"/>
        <v>4</v>
      </c>
      <c r="AI26" s="177">
        <f t="shared" si="11"/>
        <v>2</v>
      </c>
      <c r="AJ26" s="5">
        <f>PRELIM!AH26</f>
        <v>4</v>
      </c>
      <c r="AK26" s="179">
        <f t="shared" si="12"/>
        <v>2</v>
      </c>
      <c r="AL26" s="23">
        <f t="shared" si="17"/>
        <v>4</v>
      </c>
    </row>
    <row r="27" spans="1:38" x14ac:dyDescent="0.2">
      <c r="A27" s="61">
        <f>'Class List'!A11</f>
        <v>9</v>
      </c>
      <c r="B27" s="71">
        <f>'Class List'!B11</f>
        <v>0</v>
      </c>
      <c r="C27" s="72" t="str">
        <f>'Class List'!C11</f>
        <v>,</v>
      </c>
      <c r="D27" s="72">
        <f>'Class List'!D11</f>
        <v>0</v>
      </c>
      <c r="E27" s="73">
        <f>'Class List'!E11</f>
        <v>0</v>
      </c>
      <c r="F27" s="214"/>
      <c r="G27" s="215"/>
      <c r="H27" s="215"/>
      <c r="I27" s="215"/>
      <c r="J27" s="215"/>
      <c r="K27" s="216"/>
      <c r="L27" s="217">
        <f t="shared" si="14"/>
        <v>0</v>
      </c>
      <c r="M27" s="218">
        <f t="shared" si="1"/>
        <v>0</v>
      </c>
      <c r="N27" s="219" t="str">
        <f>LOOKUP(M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7" s="220">
        <f t="shared" si="2"/>
        <v>0.6</v>
      </c>
      <c r="P27" s="214"/>
      <c r="Q27" s="215"/>
      <c r="R27" s="215"/>
      <c r="S27" s="215"/>
      <c r="T27" s="215"/>
      <c r="U27" s="216"/>
      <c r="V27" s="217">
        <f t="shared" si="15"/>
        <v>0</v>
      </c>
      <c r="W27" s="218">
        <f t="shared" si="4"/>
        <v>0</v>
      </c>
      <c r="X27" s="219" t="str">
        <f>LOOKUP(W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7" s="220">
        <f t="shared" si="5"/>
        <v>1.4</v>
      </c>
      <c r="Z27" s="221"/>
      <c r="AA27" s="222">
        <f t="shared" si="6"/>
        <v>0</v>
      </c>
      <c r="AB27" s="223" t="str">
        <f>LOOKUP(AA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7" s="224">
        <f t="shared" si="7"/>
        <v>1</v>
      </c>
      <c r="AD27" s="214"/>
      <c r="AE27" s="225">
        <f t="shared" si="8"/>
        <v>0</v>
      </c>
      <c r="AF27" s="219" t="str">
        <f>LOOKUP(AE27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7" s="226">
        <f t="shared" si="9"/>
        <v>1</v>
      </c>
      <c r="AH27" s="34">
        <f t="shared" si="16"/>
        <v>4</v>
      </c>
      <c r="AI27" s="177">
        <f t="shared" si="11"/>
        <v>2</v>
      </c>
      <c r="AJ27" s="5">
        <f>PRELIM!AH27</f>
        <v>4</v>
      </c>
      <c r="AK27" s="179">
        <f t="shared" si="12"/>
        <v>2</v>
      </c>
      <c r="AL27" s="23">
        <f t="shared" si="17"/>
        <v>4</v>
      </c>
    </row>
    <row r="28" spans="1:38" x14ac:dyDescent="0.2">
      <c r="A28" s="61">
        <f>'Class List'!A12</f>
        <v>10</v>
      </c>
      <c r="B28" s="71">
        <f>'Class List'!B12</f>
        <v>0</v>
      </c>
      <c r="C28" s="72" t="str">
        <f>'Class List'!C12</f>
        <v>,</v>
      </c>
      <c r="D28" s="72">
        <f>'Class List'!D12</f>
        <v>0</v>
      </c>
      <c r="E28" s="73">
        <f>'Class List'!E12</f>
        <v>0</v>
      </c>
      <c r="F28" s="214"/>
      <c r="G28" s="215"/>
      <c r="H28" s="215"/>
      <c r="I28" s="215"/>
      <c r="J28" s="215"/>
      <c r="K28" s="216"/>
      <c r="L28" s="217">
        <f t="shared" si="14"/>
        <v>0</v>
      </c>
      <c r="M28" s="218">
        <f t="shared" si="1"/>
        <v>0</v>
      </c>
      <c r="N28" s="219" t="str">
        <f>LOOKUP(M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8" s="220">
        <f t="shared" si="2"/>
        <v>0.6</v>
      </c>
      <c r="P28" s="214"/>
      <c r="Q28" s="215"/>
      <c r="R28" s="215"/>
      <c r="S28" s="215"/>
      <c r="T28" s="215"/>
      <c r="U28" s="216"/>
      <c r="V28" s="217">
        <f t="shared" si="15"/>
        <v>0</v>
      </c>
      <c r="W28" s="218">
        <f t="shared" si="4"/>
        <v>0</v>
      </c>
      <c r="X28" s="219" t="str">
        <f>LOOKUP(W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8" s="220">
        <f t="shared" si="5"/>
        <v>1.4</v>
      </c>
      <c r="Z28" s="221"/>
      <c r="AA28" s="222">
        <f t="shared" si="6"/>
        <v>0</v>
      </c>
      <c r="AB28" s="223" t="str">
        <f>LOOKUP(AA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8" s="224">
        <f t="shared" si="7"/>
        <v>1</v>
      </c>
      <c r="AD28" s="214"/>
      <c r="AE28" s="225">
        <f t="shared" si="8"/>
        <v>0</v>
      </c>
      <c r="AF28" s="219" t="str">
        <f>LOOKUP(AE28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8" s="226">
        <f t="shared" si="9"/>
        <v>1</v>
      </c>
      <c r="AH28" s="34">
        <f t="shared" si="16"/>
        <v>4</v>
      </c>
      <c r="AI28" s="177">
        <f t="shared" si="11"/>
        <v>2</v>
      </c>
      <c r="AJ28" s="5">
        <f>PRELIM!AH28</f>
        <v>4</v>
      </c>
      <c r="AK28" s="179">
        <f t="shared" si="12"/>
        <v>2</v>
      </c>
      <c r="AL28" s="23">
        <f t="shared" si="17"/>
        <v>4</v>
      </c>
    </row>
    <row r="29" spans="1:38" x14ac:dyDescent="0.2">
      <c r="A29" s="61">
        <f>'Class List'!A13</f>
        <v>11</v>
      </c>
      <c r="B29" s="71">
        <f>'Class List'!B13</f>
        <v>0</v>
      </c>
      <c r="C29" s="72" t="str">
        <f>'Class List'!C13</f>
        <v>,</v>
      </c>
      <c r="D29" s="72">
        <f>'Class List'!D13</f>
        <v>0</v>
      </c>
      <c r="E29" s="73">
        <f>'Class List'!E13</f>
        <v>0</v>
      </c>
      <c r="F29" s="214"/>
      <c r="G29" s="215"/>
      <c r="H29" s="215"/>
      <c r="I29" s="215"/>
      <c r="J29" s="215"/>
      <c r="K29" s="216"/>
      <c r="L29" s="217">
        <f t="shared" si="14"/>
        <v>0</v>
      </c>
      <c r="M29" s="218">
        <f t="shared" si="1"/>
        <v>0</v>
      </c>
      <c r="N29" s="219" t="str">
        <f>LOOKUP(M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29" s="220">
        <f t="shared" si="2"/>
        <v>0.6</v>
      </c>
      <c r="P29" s="214"/>
      <c r="Q29" s="215"/>
      <c r="R29" s="215"/>
      <c r="S29" s="215"/>
      <c r="T29" s="215"/>
      <c r="U29" s="216"/>
      <c r="V29" s="217">
        <f t="shared" si="15"/>
        <v>0</v>
      </c>
      <c r="W29" s="218">
        <f t="shared" si="4"/>
        <v>0</v>
      </c>
      <c r="X29" s="219" t="str">
        <f>LOOKUP(W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29" s="220">
        <f t="shared" si="5"/>
        <v>1.4</v>
      </c>
      <c r="Z29" s="221"/>
      <c r="AA29" s="222">
        <f t="shared" si="6"/>
        <v>0</v>
      </c>
      <c r="AB29" s="223" t="str">
        <f>LOOKUP(AA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29" s="224">
        <f t="shared" si="7"/>
        <v>1</v>
      </c>
      <c r="AD29" s="214"/>
      <c r="AE29" s="225">
        <f t="shared" si="8"/>
        <v>0</v>
      </c>
      <c r="AF29" s="219" t="str">
        <f>LOOKUP(AE29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29" s="226">
        <f t="shared" si="9"/>
        <v>1</v>
      </c>
      <c r="AH29" s="34">
        <f t="shared" si="16"/>
        <v>4</v>
      </c>
      <c r="AI29" s="177">
        <f t="shared" si="11"/>
        <v>2</v>
      </c>
      <c r="AJ29" s="5">
        <f>PRELIM!AH29</f>
        <v>4</v>
      </c>
      <c r="AK29" s="179">
        <f t="shared" si="12"/>
        <v>2</v>
      </c>
      <c r="AL29" s="23">
        <f t="shared" si="17"/>
        <v>4</v>
      </c>
    </row>
    <row r="30" spans="1:38" x14ac:dyDescent="0.2">
      <c r="A30" s="61">
        <f>'Class List'!A14</f>
        <v>12</v>
      </c>
      <c r="B30" s="71">
        <f>'Class List'!B14</f>
        <v>0</v>
      </c>
      <c r="C30" s="72" t="str">
        <f>'Class List'!C14</f>
        <v>,</v>
      </c>
      <c r="D30" s="72">
        <f>'Class List'!D14</f>
        <v>0</v>
      </c>
      <c r="E30" s="73">
        <f>'Class List'!E14</f>
        <v>0</v>
      </c>
      <c r="F30" s="214"/>
      <c r="G30" s="215"/>
      <c r="H30" s="215"/>
      <c r="I30" s="215"/>
      <c r="J30" s="215"/>
      <c r="K30" s="216"/>
      <c r="L30" s="217">
        <f t="shared" si="14"/>
        <v>0</v>
      </c>
      <c r="M30" s="218">
        <f t="shared" si="1"/>
        <v>0</v>
      </c>
      <c r="N30" s="219" t="str">
        <f>LOOKUP(M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0" s="220">
        <f t="shared" si="2"/>
        <v>0.6</v>
      </c>
      <c r="P30" s="214"/>
      <c r="Q30" s="215"/>
      <c r="R30" s="215"/>
      <c r="S30" s="215"/>
      <c r="T30" s="215"/>
      <c r="U30" s="216"/>
      <c r="V30" s="217">
        <f t="shared" si="15"/>
        <v>0</v>
      </c>
      <c r="W30" s="218">
        <f t="shared" si="4"/>
        <v>0</v>
      </c>
      <c r="X30" s="219" t="str">
        <f>LOOKUP(W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0" s="220">
        <f t="shared" si="5"/>
        <v>1.4</v>
      </c>
      <c r="Z30" s="221"/>
      <c r="AA30" s="222">
        <f t="shared" si="6"/>
        <v>0</v>
      </c>
      <c r="AB30" s="223" t="str">
        <f>LOOKUP(AA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0" s="224">
        <f t="shared" si="7"/>
        <v>1</v>
      </c>
      <c r="AD30" s="214"/>
      <c r="AE30" s="225">
        <f t="shared" si="8"/>
        <v>0</v>
      </c>
      <c r="AF30" s="219" t="str">
        <f>LOOKUP(AE30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0" s="226">
        <f t="shared" si="9"/>
        <v>1</v>
      </c>
      <c r="AH30" s="34">
        <f t="shared" si="16"/>
        <v>4</v>
      </c>
      <c r="AI30" s="177">
        <f t="shared" si="11"/>
        <v>2</v>
      </c>
      <c r="AJ30" s="5">
        <f>PRELIM!AH30</f>
        <v>4</v>
      </c>
      <c r="AK30" s="179">
        <f t="shared" si="12"/>
        <v>2</v>
      </c>
      <c r="AL30" s="23">
        <f t="shared" si="17"/>
        <v>4</v>
      </c>
    </row>
    <row r="31" spans="1:38" x14ac:dyDescent="0.2">
      <c r="A31" s="61">
        <f>'Class List'!A15</f>
        <v>13</v>
      </c>
      <c r="B31" s="71">
        <f>'Class List'!B15</f>
        <v>0</v>
      </c>
      <c r="C31" s="72" t="str">
        <f>'Class List'!C15</f>
        <v>,</v>
      </c>
      <c r="D31" s="72">
        <f>'Class List'!D15</f>
        <v>0</v>
      </c>
      <c r="E31" s="73">
        <f>'Class List'!E15</f>
        <v>0</v>
      </c>
      <c r="F31" s="214"/>
      <c r="G31" s="215"/>
      <c r="H31" s="215"/>
      <c r="I31" s="215"/>
      <c r="J31" s="215"/>
      <c r="K31" s="216"/>
      <c r="L31" s="217">
        <f t="shared" si="14"/>
        <v>0</v>
      </c>
      <c r="M31" s="218">
        <f t="shared" si="1"/>
        <v>0</v>
      </c>
      <c r="N31" s="219" t="str">
        <f>LOOKUP(M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1" s="220">
        <f t="shared" si="2"/>
        <v>0.6</v>
      </c>
      <c r="P31" s="214"/>
      <c r="Q31" s="215"/>
      <c r="R31" s="215"/>
      <c r="S31" s="215"/>
      <c r="T31" s="215"/>
      <c r="U31" s="216"/>
      <c r="V31" s="217">
        <f t="shared" si="15"/>
        <v>0</v>
      </c>
      <c r="W31" s="218">
        <f t="shared" si="4"/>
        <v>0</v>
      </c>
      <c r="X31" s="219" t="str">
        <f>LOOKUP(W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1" s="220">
        <f t="shared" si="5"/>
        <v>1.4</v>
      </c>
      <c r="Z31" s="221"/>
      <c r="AA31" s="222">
        <f t="shared" si="6"/>
        <v>0</v>
      </c>
      <c r="AB31" s="223" t="str">
        <f>LOOKUP(AA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1" s="224">
        <f t="shared" si="7"/>
        <v>1</v>
      </c>
      <c r="AD31" s="214"/>
      <c r="AE31" s="225">
        <f t="shared" si="8"/>
        <v>0</v>
      </c>
      <c r="AF31" s="219" t="str">
        <f>LOOKUP(AE31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1" s="226">
        <f t="shared" si="9"/>
        <v>1</v>
      </c>
      <c r="AH31" s="34">
        <f t="shared" si="16"/>
        <v>4</v>
      </c>
      <c r="AI31" s="177">
        <f t="shared" si="11"/>
        <v>2</v>
      </c>
      <c r="AJ31" s="5">
        <f>PRELIM!AH31</f>
        <v>4</v>
      </c>
      <c r="AK31" s="179">
        <f t="shared" si="12"/>
        <v>2</v>
      </c>
      <c r="AL31" s="23">
        <f t="shared" si="17"/>
        <v>4</v>
      </c>
    </row>
    <row r="32" spans="1:38" x14ac:dyDescent="0.2">
      <c r="A32" s="61">
        <f>'Class List'!A16</f>
        <v>14</v>
      </c>
      <c r="B32" s="71">
        <f>'Class List'!B16</f>
        <v>0</v>
      </c>
      <c r="C32" s="72" t="str">
        <f>'Class List'!C16</f>
        <v>,</v>
      </c>
      <c r="D32" s="72">
        <f>'Class List'!D16</f>
        <v>0</v>
      </c>
      <c r="E32" s="73">
        <f>'Class List'!E16</f>
        <v>0</v>
      </c>
      <c r="F32" s="214"/>
      <c r="G32" s="215"/>
      <c r="H32" s="215"/>
      <c r="I32" s="215"/>
      <c r="J32" s="215"/>
      <c r="K32" s="216"/>
      <c r="L32" s="217">
        <f t="shared" si="14"/>
        <v>0</v>
      </c>
      <c r="M32" s="218">
        <f t="shared" si="1"/>
        <v>0</v>
      </c>
      <c r="N32" s="219" t="str">
        <f>LOOKUP(M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2" s="220">
        <f t="shared" si="2"/>
        <v>0.6</v>
      </c>
      <c r="P32" s="214"/>
      <c r="Q32" s="215"/>
      <c r="R32" s="215"/>
      <c r="S32" s="215"/>
      <c r="T32" s="215"/>
      <c r="U32" s="216"/>
      <c r="V32" s="217">
        <f t="shared" si="15"/>
        <v>0</v>
      </c>
      <c r="W32" s="218">
        <f t="shared" si="4"/>
        <v>0</v>
      </c>
      <c r="X32" s="219" t="str">
        <f>LOOKUP(W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2" s="220">
        <f t="shared" si="5"/>
        <v>1.4</v>
      </c>
      <c r="Z32" s="221"/>
      <c r="AA32" s="222">
        <f t="shared" si="6"/>
        <v>0</v>
      </c>
      <c r="AB32" s="223" t="str">
        <f>LOOKUP(AA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2" s="224">
        <f t="shared" si="7"/>
        <v>1</v>
      </c>
      <c r="AD32" s="214"/>
      <c r="AE32" s="225">
        <f t="shared" si="8"/>
        <v>0</v>
      </c>
      <c r="AF32" s="219" t="str">
        <f>LOOKUP(AE32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2" s="226">
        <f t="shared" si="9"/>
        <v>1</v>
      </c>
      <c r="AH32" s="34">
        <f t="shared" si="16"/>
        <v>4</v>
      </c>
      <c r="AI32" s="177">
        <f t="shared" si="11"/>
        <v>2</v>
      </c>
      <c r="AJ32" s="5">
        <f>PRELIM!AH32</f>
        <v>4</v>
      </c>
      <c r="AK32" s="179">
        <f t="shared" si="12"/>
        <v>2</v>
      </c>
      <c r="AL32" s="23">
        <f t="shared" si="17"/>
        <v>4</v>
      </c>
    </row>
    <row r="33" spans="1:38" x14ac:dyDescent="0.2">
      <c r="A33" s="61">
        <f>'Class List'!A17</f>
        <v>15</v>
      </c>
      <c r="B33" s="71">
        <f>'Class List'!B17</f>
        <v>0</v>
      </c>
      <c r="C33" s="72" t="str">
        <f>'Class List'!C17</f>
        <v>,</v>
      </c>
      <c r="D33" s="72">
        <f>'Class List'!D17</f>
        <v>0</v>
      </c>
      <c r="E33" s="73">
        <f>'Class List'!E17</f>
        <v>0</v>
      </c>
      <c r="F33" s="214"/>
      <c r="G33" s="215"/>
      <c r="H33" s="215"/>
      <c r="I33" s="215"/>
      <c r="J33" s="215"/>
      <c r="K33" s="216"/>
      <c r="L33" s="217">
        <f t="shared" si="14"/>
        <v>0</v>
      </c>
      <c r="M33" s="218">
        <f t="shared" si="1"/>
        <v>0</v>
      </c>
      <c r="N33" s="219" t="str">
        <f>LOOKUP(M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3" s="220">
        <f t="shared" si="2"/>
        <v>0.6</v>
      </c>
      <c r="P33" s="214"/>
      <c r="Q33" s="215"/>
      <c r="R33" s="215"/>
      <c r="S33" s="215"/>
      <c r="T33" s="215"/>
      <c r="U33" s="216"/>
      <c r="V33" s="217">
        <f t="shared" si="15"/>
        <v>0</v>
      </c>
      <c r="W33" s="218">
        <f t="shared" si="4"/>
        <v>0</v>
      </c>
      <c r="X33" s="219" t="str">
        <f>LOOKUP(W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3" s="220">
        <f t="shared" si="5"/>
        <v>1.4</v>
      </c>
      <c r="Z33" s="221"/>
      <c r="AA33" s="222">
        <f t="shared" si="6"/>
        <v>0</v>
      </c>
      <c r="AB33" s="223" t="str">
        <f>LOOKUP(AA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3" s="224">
        <f t="shared" si="7"/>
        <v>1</v>
      </c>
      <c r="AD33" s="214"/>
      <c r="AE33" s="225">
        <f t="shared" si="8"/>
        <v>0</v>
      </c>
      <c r="AF33" s="219" t="str">
        <f>LOOKUP(AE33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3" s="226">
        <f t="shared" si="9"/>
        <v>1</v>
      </c>
      <c r="AH33" s="34">
        <f t="shared" si="16"/>
        <v>4</v>
      </c>
      <c r="AI33" s="177">
        <f t="shared" si="11"/>
        <v>2</v>
      </c>
      <c r="AJ33" s="5">
        <f>PRELIM!AH33</f>
        <v>4</v>
      </c>
      <c r="AK33" s="179">
        <f t="shared" si="12"/>
        <v>2</v>
      </c>
      <c r="AL33" s="23">
        <f t="shared" si="17"/>
        <v>4</v>
      </c>
    </row>
    <row r="34" spans="1:38" x14ac:dyDescent="0.2">
      <c r="A34" s="61">
        <f>'Class List'!A18</f>
        <v>16</v>
      </c>
      <c r="B34" s="71">
        <f>'Class List'!B18</f>
        <v>0</v>
      </c>
      <c r="C34" s="72" t="str">
        <f>'Class List'!C18</f>
        <v>,</v>
      </c>
      <c r="D34" s="72">
        <f>'Class List'!D18</f>
        <v>0</v>
      </c>
      <c r="E34" s="73">
        <f>'Class List'!E18</f>
        <v>0</v>
      </c>
      <c r="F34" s="214"/>
      <c r="G34" s="215"/>
      <c r="H34" s="215"/>
      <c r="I34" s="215"/>
      <c r="J34" s="215"/>
      <c r="K34" s="216"/>
      <c r="L34" s="217">
        <f t="shared" si="14"/>
        <v>0</v>
      </c>
      <c r="M34" s="218">
        <f t="shared" si="1"/>
        <v>0</v>
      </c>
      <c r="N34" s="219" t="str">
        <f>LOOKUP(M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4" s="220">
        <f t="shared" si="2"/>
        <v>0.6</v>
      </c>
      <c r="P34" s="214"/>
      <c r="Q34" s="215"/>
      <c r="R34" s="215"/>
      <c r="S34" s="215"/>
      <c r="T34" s="215"/>
      <c r="U34" s="216"/>
      <c r="V34" s="217">
        <f t="shared" si="15"/>
        <v>0</v>
      </c>
      <c r="W34" s="218">
        <f t="shared" si="4"/>
        <v>0</v>
      </c>
      <c r="X34" s="219" t="str">
        <f>LOOKUP(W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4" s="220">
        <f t="shared" si="5"/>
        <v>1.4</v>
      </c>
      <c r="Z34" s="221"/>
      <c r="AA34" s="222">
        <f t="shared" si="6"/>
        <v>0</v>
      </c>
      <c r="AB34" s="223" t="str">
        <f>LOOKUP(AA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4" s="224">
        <f t="shared" si="7"/>
        <v>1</v>
      </c>
      <c r="AD34" s="214"/>
      <c r="AE34" s="225">
        <f t="shared" si="8"/>
        <v>0</v>
      </c>
      <c r="AF34" s="219" t="str">
        <f>LOOKUP(AE34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4" s="226">
        <f t="shared" si="9"/>
        <v>1</v>
      </c>
      <c r="AH34" s="34">
        <f t="shared" si="16"/>
        <v>4</v>
      </c>
      <c r="AI34" s="177">
        <f t="shared" si="11"/>
        <v>2</v>
      </c>
      <c r="AJ34" s="5">
        <f>PRELIM!AH34</f>
        <v>4</v>
      </c>
      <c r="AK34" s="179">
        <f t="shared" si="12"/>
        <v>2</v>
      </c>
      <c r="AL34" s="23">
        <f t="shared" si="17"/>
        <v>4</v>
      </c>
    </row>
    <row r="35" spans="1:38" x14ac:dyDescent="0.2">
      <c r="A35" s="61">
        <f>'Class List'!A19</f>
        <v>17</v>
      </c>
      <c r="B35" s="71">
        <f>'Class List'!B19</f>
        <v>0</v>
      </c>
      <c r="C35" s="72" t="str">
        <f>'Class List'!C19</f>
        <v>,</v>
      </c>
      <c r="D35" s="72">
        <f>'Class List'!D19</f>
        <v>0</v>
      </c>
      <c r="E35" s="73">
        <f>'Class List'!E19</f>
        <v>0</v>
      </c>
      <c r="F35" s="214"/>
      <c r="G35" s="215"/>
      <c r="H35" s="215"/>
      <c r="I35" s="215"/>
      <c r="J35" s="215"/>
      <c r="K35" s="216"/>
      <c r="L35" s="217">
        <f t="shared" si="14"/>
        <v>0</v>
      </c>
      <c r="M35" s="218">
        <f t="shared" si="1"/>
        <v>0</v>
      </c>
      <c r="N35" s="219" t="str">
        <f>LOOKUP(M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5" s="220">
        <f t="shared" si="2"/>
        <v>0.6</v>
      </c>
      <c r="P35" s="214"/>
      <c r="Q35" s="215"/>
      <c r="R35" s="215"/>
      <c r="S35" s="215"/>
      <c r="T35" s="215"/>
      <c r="U35" s="216"/>
      <c r="V35" s="217">
        <f t="shared" si="15"/>
        <v>0</v>
      </c>
      <c r="W35" s="218">
        <f t="shared" si="4"/>
        <v>0</v>
      </c>
      <c r="X35" s="219" t="str">
        <f>LOOKUP(W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5" s="220">
        <f t="shared" si="5"/>
        <v>1.4</v>
      </c>
      <c r="Z35" s="221"/>
      <c r="AA35" s="222">
        <f t="shared" si="6"/>
        <v>0</v>
      </c>
      <c r="AB35" s="223" t="str">
        <f>LOOKUP(AA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5" s="224">
        <f t="shared" si="7"/>
        <v>1</v>
      </c>
      <c r="AD35" s="214"/>
      <c r="AE35" s="225">
        <f t="shared" si="8"/>
        <v>0</v>
      </c>
      <c r="AF35" s="219" t="str">
        <f>LOOKUP(AE35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5" s="226">
        <f t="shared" si="9"/>
        <v>1</v>
      </c>
      <c r="AH35" s="34">
        <f t="shared" si="16"/>
        <v>4</v>
      </c>
      <c r="AI35" s="177">
        <f t="shared" si="11"/>
        <v>2</v>
      </c>
      <c r="AJ35" s="5">
        <f>PRELIM!AH35</f>
        <v>4</v>
      </c>
      <c r="AK35" s="179">
        <f t="shared" si="12"/>
        <v>2</v>
      </c>
      <c r="AL35" s="23">
        <f t="shared" si="17"/>
        <v>4</v>
      </c>
    </row>
    <row r="36" spans="1:38" x14ac:dyDescent="0.2">
      <c r="A36" s="61">
        <f>'Class List'!A20</f>
        <v>18</v>
      </c>
      <c r="B36" s="71">
        <f>'Class List'!B20</f>
        <v>0</v>
      </c>
      <c r="C36" s="72" t="str">
        <f>'Class List'!C20</f>
        <v>,</v>
      </c>
      <c r="D36" s="72">
        <f>'Class List'!D20</f>
        <v>0</v>
      </c>
      <c r="E36" s="73">
        <f>'Class List'!E20</f>
        <v>0</v>
      </c>
      <c r="F36" s="214"/>
      <c r="G36" s="215"/>
      <c r="H36" s="215"/>
      <c r="I36" s="215"/>
      <c r="J36" s="215"/>
      <c r="K36" s="216"/>
      <c r="L36" s="217">
        <f t="shared" si="14"/>
        <v>0</v>
      </c>
      <c r="M36" s="218">
        <f t="shared" si="1"/>
        <v>0</v>
      </c>
      <c r="N36" s="219" t="str">
        <f>LOOKUP(M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6" s="220">
        <f t="shared" si="2"/>
        <v>0.6</v>
      </c>
      <c r="P36" s="214"/>
      <c r="Q36" s="215"/>
      <c r="R36" s="215"/>
      <c r="S36" s="215"/>
      <c r="T36" s="215"/>
      <c r="U36" s="216"/>
      <c r="V36" s="217">
        <f t="shared" si="15"/>
        <v>0</v>
      </c>
      <c r="W36" s="218">
        <f t="shared" si="4"/>
        <v>0</v>
      </c>
      <c r="X36" s="219" t="str">
        <f>LOOKUP(W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6" s="220">
        <f t="shared" si="5"/>
        <v>1.4</v>
      </c>
      <c r="Z36" s="221"/>
      <c r="AA36" s="222">
        <f t="shared" si="6"/>
        <v>0</v>
      </c>
      <c r="AB36" s="223" t="str">
        <f>LOOKUP(AA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6" s="224">
        <f t="shared" si="7"/>
        <v>1</v>
      </c>
      <c r="AD36" s="214"/>
      <c r="AE36" s="225">
        <f t="shared" si="8"/>
        <v>0</v>
      </c>
      <c r="AF36" s="219" t="str">
        <f>LOOKUP(AE36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6" s="226">
        <f t="shared" si="9"/>
        <v>1</v>
      </c>
      <c r="AH36" s="34">
        <f t="shared" si="16"/>
        <v>4</v>
      </c>
      <c r="AI36" s="177">
        <f t="shared" si="11"/>
        <v>2</v>
      </c>
      <c r="AJ36" s="5">
        <f>PRELIM!AH36</f>
        <v>4</v>
      </c>
      <c r="AK36" s="179">
        <f t="shared" si="12"/>
        <v>2</v>
      </c>
      <c r="AL36" s="23">
        <f t="shared" si="17"/>
        <v>4</v>
      </c>
    </row>
    <row r="37" spans="1:38" x14ac:dyDescent="0.2">
      <c r="A37" s="61">
        <f>'Class List'!A21</f>
        <v>19</v>
      </c>
      <c r="B37" s="71">
        <f>'Class List'!B21</f>
        <v>0</v>
      </c>
      <c r="C37" s="72" t="str">
        <f>'Class List'!C21</f>
        <v>,</v>
      </c>
      <c r="D37" s="72">
        <f>'Class List'!D21</f>
        <v>0</v>
      </c>
      <c r="E37" s="73">
        <f>'Class List'!E21</f>
        <v>0</v>
      </c>
      <c r="F37" s="214"/>
      <c r="G37" s="215"/>
      <c r="H37" s="215"/>
      <c r="I37" s="215"/>
      <c r="J37" s="215"/>
      <c r="K37" s="216"/>
      <c r="L37" s="217">
        <f t="shared" si="14"/>
        <v>0</v>
      </c>
      <c r="M37" s="218">
        <f t="shared" si="1"/>
        <v>0</v>
      </c>
      <c r="N37" s="219" t="str">
        <f>LOOKUP(M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7" s="220">
        <f t="shared" si="2"/>
        <v>0.6</v>
      </c>
      <c r="P37" s="214"/>
      <c r="Q37" s="215"/>
      <c r="R37" s="215"/>
      <c r="S37" s="215"/>
      <c r="T37" s="215"/>
      <c r="U37" s="216"/>
      <c r="V37" s="217">
        <f t="shared" si="15"/>
        <v>0</v>
      </c>
      <c r="W37" s="218">
        <f t="shared" si="4"/>
        <v>0</v>
      </c>
      <c r="X37" s="219" t="str">
        <f>LOOKUP(W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7" s="220">
        <f t="shared" si="5"/>
        <v>1.4</v>
      </c>
      <c r="Z37" s="221"/>
      <c r="AA37" s="222">
        <f t="shared" si="6"/>
        <v>0</v>
      </c>
      <c r="AB37" s="223" t="str">
        <f>LOOKUP(AA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7" s="224">
        <f t="shared" si="7"/>
        <v>1</v>
      </c>
      <c r="AD37" s="214"/>
      <c r="AE37" s="225">
        <f t="shared" si="8"/>
        <v>0</v>
      </c>
      <c r="AF37" s="219" t="str">
        <f>LOOKUP(AE37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7" s="226">
        <f t="shared" si="9"/>
        <v>1</v>
      </c>
      <c r="AH37" s="34">
        <f t="shared" si="16"/>
        <v>4</v>
      </c>
      <c r="AI37" s="177">
        <f t="shared" si="11"/>
        <v>2</v>
      </c>
      <c r="AJ37" s="5">
        <f>PRELIM!AH37</f>
        <v>4</v>
      </c>
      <c r="AK37" s="179">
        <f t="shared" si="12"/>
        <v>2</v>
      </c>
      <c r="AL37" s="23">
        <f t="shared" si="17"/>
        <v>4</v>
      </c>
    </row>
    <row r="38" spans="1:38" x14ac:dyDescent="0.2">
      <c r="A38" s="61">
        <f>'Class List'!A22</f>
        <v>20</v>
      </c>
      <c r="B38" s="71">
        <f>'Class List'!B22</f>
        <v>0</v>
      </c>
      <c r="C38" s="72" t="str">
        <f>'Class List'!C22</f>
        <v>,</v>
      </c>
      <c r="D38" s="72">
        <f>'Class List'!D22</f>
        <v>0</v>
      </c>
      <c r="E38" s="73">
        <f>'Class List'!E22</f>
        <v>0</v>
      </c>
      <c r="F38" s="214"/>
      <c r="G38" s="215"/>
      <c r="H38" s="215"/>
      <c r="I38" s="215"/>
      <c r="J38" s="215"/>
      <c r="K38" s="216"/>
      <c r="L38" s="217">
        <f t="shared" si="14"/>
        <v>0</v>
      </c>
      <c r="M38" s="218">
        <f t="shared" si="1"/>
        <v>0</v>
      </c>
      <c r="N38" s="219" t="str">
        <f>LOOKUP(M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8" s="220">
        <f t="shared" si="2"/>
        <v>0.6</v>
      </c>
      <c r="P38" s="214"/>
      <c r="Q38" s="215"/>
      <c r="R38" s="215"/>
      <c r="S38" s="215"/>
      <c r="T38" s="215"/>
      <c r="U38" s="216"/>
      <c r="V38" s="217">
        <f t="shared" si="15"/>
        <v>0</v>
      </c>
      <c r="W38" s="218">
        <f t="shared" si="4"/>
        <v>0</v>
      </c>
      <c r="X38" s="219" t="str">
        <f>LOOKUP(W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8" s="220">
        <f t="shared" si="5"/>
        <v>1.4</v>
      </c>
      <c r="Z38" s="221"/>
      <c r="AA38" s="222">
        <f t="shared" si="6"/>
        <v>0</v>
      </c>
      <c r="AB38" s="223" t="str">
        <f>LOOKUP(AA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8" s="224">
        <f t="shared" si="7"/>
        <v>1</v>
      </c>
      <c r="AD38" s="214"/>
      <c r="AE38" s="225">
        <f t="shared" si="8"/>
        <v>0</v>
      </c>
      <c r="AF38" s="219" t="str">
        <f>LOOKUP(AE38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8" s="226">
        <f t="shared" si="9"/>
        <v>1</v>
      </c>
      <c r="AH38" s="34">
        <f t="shared" si="16"/>
        <v>4</v>
      </c>
      <c r="AI38" s="177">
        <f t="shared" si="11"/>
        <v>2</v>
      </c>
      <c r="AJ38" s="5">
        <f>PRELIM!AH38</f>
        <v>4</v>
      </c>
      <c r="AK38" s="179">
        <f t="shared" si="12"/>
        <v>2</v>
      </c>
      <c r="AL38" s="23">
        <f t="shared" si="17"/>
        <v>4</v>
      </c>
    </row>
    <row r="39" spans="1:38" x14ac:dyDescent="0.2">
      <c r="A39" s="61">
        <f>'Class List'!A23</f>
        <v>21</v>
      </c>
      <c r="B39" s="71">
        <f>'Class List'!B23</f>
        <v>0</v>
      </c>
      <c r="C39" s="72" t="str">
        <f>'Class List'!C23</f>
        <v>,</v>
      </c>
      <c r="D39" s="72">
        <f>'Class List'!D23</f>
        <v>0</v>
      </c>
      <c r="E39" s="73">
        <f>'Class List'!E23</f>
        <v>0</v>
      </c>
      <c r="F39" s="214"/>
      <c r="G39" s="215"/>
      <c r="H39" s="215"/>
      <c r="I39" s="215"/>
      <c r="J39" s="215"/>
      <c r="K39" s="216"/>
      <c r="L39" s="217">
        <f t="shared" si="14"/>
        <v>0</v>
      </c>
      <c r="M39" s="218">
        <f t="shared" si="1"/>
        <v>0</v>
      </c>
      <c r="N39" s="219" t="str">
        <f>LOOKUP(M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39" s="220">
        <f t="shared" si="2"/>
        <v>0.6</v>
      </c>
      <c r="P39" s="214"/>
      <c r="Q39" s="215"/>
      <c r="R39" s="215"/>
      <c r="S39" s="215"/>
      <c r="T39" s="215"/>
      <c r="U39" s="216"/>
      <c r="V39" s="217">
        <f t="shared" si="15"/>
        <v>0</v>
      </c>
      <c r="W39" s="218">
        <f t="shared" si="4"/>
        <v>0</v>
      </c>
      <c r="X39" s="219" t="str">
        <f>LOOKUP(W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39" s="220">
        <f t="shared" si="5"/>
        <v>1.4</v>
      </c>
      <c r="Z39" s="221"/>
      <c r="AA39" s="222">
        <f t="shared" si="6"/>
        <v>0</v>
      </c>
      <c r="AB39" s="223" t="str">
        <f>LOOKUP(AA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39" s="224">
        <f t="shared" si="7"/>
        <v>1</v>
      </c>
      <c r="AD39" s="214"/>
      <c r="AE39" s="225">
        <f t="shared" si="8"/>
        <v>0</v>
      </c>
      <c r="AF39" s="219" t="str">
        <f>LOOKUP(AE39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39" s="226">
        <f t="shared" si="9"/>
        <v>1</v>
      </c>
      <c r="AH39" s="34">
        <f t="shared" si="16"/>
        <v>4</v>
      </c>
      <c r="AI39" s="177">
        <f t="shared" si="11"/>
        <v>2</v>
      </c>
      <c r="AJ39" s="5">
        <f>PRELIM!AH39</f>
        <v>4</v>
      </c>
      <c r="AK39" s="179">
        <f t="shared" si="12"/>
        <v>2</v>
      </c>
      <c r="AL39" s="23">
        <f t="shared" si="17"/>
        <v>4</v>
      </c>
    </row>
    <row r="40" spans="1:38" x14ac:dyDescent="0.2">
      <c r="A40" s="61">
        <f>'Class List'!A24</f>
        <v>22</v>
      </c>
      <c r="B40" s="71">
        <f>'Class List'!B24</f>
        <v>0</v>
      </c>
      <c r="C40" s="72" t="str">
        <f>'Class List'!C24</f>
        <v>,</v>
      </c>
      <c r="D40" s="72">
        <f>'Class List'!D24</f>
        <v>0</v>
      </c>
      <c r="E40" s="73">
        <f>'Class List'!E24</f>
        <v>0</v>
      </c>
      <c r="F40" s="214"/>
      <c r="G40" s="215"/>
      <c r="H40" s="215"/>
      <c r="I40" s="215"/>
      <c r="J40" s="215"/>
      <c r="K40" s="216"/>
      <c r="L40" s="217">
        <f t="shared" si="14"/>
        <v>0</v>
      </c>
      <c r="M40" s="218">
        <f t="shared" si="1"/>
        <v>0</v>
      </c>
      <c r="N40" s="219" t="str">
        <f>LOOKUP(M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0" s="220">
        <f t="shared" si="2"/>
        <v>0.6</v>
      </c>
      <c r="P40" s="214"/>
      <c r="Q40" s="215"/>
      <c r="R40" s="215"/>
      <c r="S40" s="215"/>
      <c r="T40" s="215"/>
      <c r="U40" s="216"/>
      <c r="V40" s="217">
        <f t="shared" si="15"/>
        <v>0</v>
      </c>
      <c r="W40" s="218">
        <f t="shared" si="4"/>
        <v>0</v>
      </c>
      <c r="X40" s="219" t="str">
        <f>LOOKUP(W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0" s="220">
        <f t="shared" si="5"/>
        <v>1.4</v>
      </c>
      <c r="Z40" s="221"/>
      <c r="AA40" s="222">
        <f t="shared" si="6"/>
        <v>0</v>
      </c>
      <c r="AB40" s="223" t="str">
        <f>LOOKUP(AA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0" s="224">
        <f t="shared" si="7"/>
        <v>1</v>
      </c>
      <c r="AD40" s="214"/>
      <c r="AE40" s="225">
        <f t="shared" si="8"/>
        <v>0</v>
      </c>
      <c r="AF40" s="219" t="str">
        <f>LOOKUP(AE40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0" s="226">
        <f t="shared" si="9"/>
        <v>1</v>
      </c>
      <c r="AH40" s="34">
        <f t="shared" si="16"/>
        <v>4</v>
      </c>
      <c r="AI40" s="177">
        <f t="shared" si="11"/>
        <v>2</v>
      </c>
      <c r="AJ40" s="5">
        <f>PRELIM!AH40</f>
        <v>4</v>
      </c>
      <c r="AK40" s="179">
        <f t="shared" si="12"/>
        <v>2</v>
      </c>
      <c r="AL40" s="23">
        <f t="shared" si="17"/>
        <v>4</v>
      </c>
    </row>
    <row r="41" spans="1:38" x14ac:dyDescent="0.2">
      <c r="A41" s="61">
        <f>'Class List'!A25</f>
        <v>23</v>
      </c>
      <c r="B41" s="71">
        <f>'Class List'!B25</f>
        <v>0</v>
      </c>
      <c r="C41" s="72" t="str">
        <f>'Class List'!C25</f>
        <v>,</v>
      </c>
      <c r="D41" s="72">
        <f>'Class List'!D25</f>
        <v>0</v>
      </c>
      <c r="E41" s="73">
        <f>'Class List'!E25</f>
        <v>0</v>
      </c>
      <c r="F41" s="214"/>
      <c r="G41" s="215"/>
      <c r="H41" s="215"/>
      <c r="I41" s="215"/>
      <c r="J41" s="215"/>
      <c r="K41" s="216"/>
      <c r="L41" s="217">
        <f t="shared" si="14"/>
        <v>0</v>
      </c>
      <c r="M41" s="218">
        <f t="shared" si="1"/>
        <v>0</v>
      </c>
      <c r="N41" s="219" t="str">
        <f>LOOKUP(M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1" s="220">
        <f t="shared" si="2"/>
        <v>0.6</v>
      </c>
      <c r="P41" s="214"/>
      <c r="Q41" s="215"/>
      <c r="R41" s="215"/>
      <c r="S41" s="215"/>
      <c r="T41" s="215"/>
      <c r="U41" s="216"/>
      <c r="V41" s="217">
        <f t="shared" si="15"/>
        <v>0</v>
      </c>
      <c r="W41" s="218">
        <f t="shared" si="4"/>
        <v>0</v>
      </c>
      <c r="X41" s="219" t="str">
        <f>LOOKUP(W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1" s="220">
        <f t="shared" si="5"/>
        <v>1.4</v>
      </c>
      <c r="Z41" s="221"/>
      <c r="AA41" s="222">
        <f t="shared" si="6"/>
        <v>0</v>
      </c>
      <c r="AB41" s="223" t="str">
        <f>LOOKUP(AA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1" s="224">
        <f t="shared" si="7"/>
        <v>1</v>
      </c>
      <c r="AD41" s="214"/>
      <c r="AE41" s="225">
        <f t="shared" si="8"/>
        <v>0</v>
      </c>
      <c r="AF41" s="219" t="str">
        <f>LOOKUP(AE41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1" s="226">
        <f t="shared" si="9"/>
        <v>1</v>
      </c>
      <c r="AH41" s="34">
        <f t="shared" si="16"/>
        <v>4</v>
      </c>
      <c r="AI41" s="177">
        <f t="shared" si="11"/>
        <v>2</v>
      </c>
      <c r="AJ41" s="5">
        <f>PRELIM!AH41</f>
        <v>4</v>
      </c>
      <c r="AK41" s="179">
        <f t="shared" si="12"/>
        <v>2</v>
      </c>
      <c r="AL41" s="23">
        <f t="shared" si="17"/>
        <v>4</v>
      </c>
    </row>
    <row r="42" spans="1:38" x14ac:dyDescent="0.2">
      <c r="A42" s="61">
        <f>'Class List'!A26</f>
        <v>24</v>
      </c>
      <c r="B42" s="71">
        <f>'Class List'!B26</f>
        <v>0</v>
      </c>
      <c r="C42" s="72" t="str">
        <f>'Class List'!C26</f>
        <v>,</v>
      </c>
      <c r="D42" s="72">
        <f>'Class List'!D26</f>
        <v>0</v>
      </c>
      <c r="E42" s="73">
        <f>'Class List'!E26</f>
        <v>0</v>
      </c>
      <c r="F42" s="214"/>
      <c r="G42" s="215"/>
      <c r="H42" s="215"/>
      <c r="I42" s="215"/>
      <c r="J42" s="215"/>
      <c r="K42" s="216"/>
      <c r="L42" s="217">
        <f t="shared" si="14"/>
        <v>0</v>
      </c>
      <c r="M42" s="218">
        <f t="shared" si="1"/>
        <v>0</v>
      </c>
      <c r="N42" s="219" t="str">
        <f>LOOKUP(M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2" s="220">
        <f t="shared" si="2"/>
        <v>0.6</v>
      </c>
      <c r="P42" s="214"/>
      <c r="Q42" s="215"/>
      <c r="R42" s="215"/>
      <c r="S42" s="215"/>
      <c r="T42" s="215"/>
      <c r="U42" s="216"/>
      <c r="V42" s="217">
        <f t="shared" si="15"/>
        <v>0</v>
      </c>
      <c r="W42" s="218">
        <f t="shared" si="4"/>
        <v>0</v>
      </c>
      <c r="X42" s="219" t="str">
        <f>LOOKUP(W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2" s="220">
        <f t="shared" si="5"/>
        <v>1.4</v>
      </c>
      <c r="Z42" s="221"/>
      <c r="AA42" s="222">
        <f t="shared" si="6"/>
        <v>0</v>
      </c>
      <c r="AB42" s="223" t="str">
        <f>LOOKUP(AA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2" s="224">
        <f t="shared" si="7"/>
        <v>1</v>
      </c>
      <c r="AD42" s="214"/>
      <c r="AE42" s="225">
        <f t="shared" si="8"/>
        <v>0</v>
      </c>
      <c r="AF42" s="219" t="str">
        <f>LOOKUP(AE42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2" s="226">
        <f t="shared" si="9"/>
        <v>1</v>
      </c>
      <c r="AH42" s="34">
        <f t="shared" si="16"/>
        <v>4</v>
      </c>
      <c r="AI42" s="177">
        <f t="shared" si="11"/>
        <v>2</v>
      </c>
      <c r="AJ42" s="5">
        <f>PRELIM!AH42</f>
        <v>4</v>
      </c>
      <c r="AK42" s="179">
        <f t="shared" si="12"/>
        <v>2</v>
      </c>
      <c r="AL42" s="23">
        <f t="shared" si="17"/>
        <v>4</v>
      </c>
    </row>
    <row r="43" spans="1:38" x14ac:dyDescent="0.2">
      <c r="A43" s="61">
        <f>'Class List'!A27</f>
        <v>25</v>
      </c>
      <c r="B43" s="71">
        <f>'Class List'!B27</f>
        <v>0</v>
      </c>
      <c r="C43" s="72" t="str">
        <f>'Class List'!C27</f>
        <v>,</v>
      </c>
      <c r="D43" s="72">
        <f>'Class List'!D27</f>
        <v>0</v>
      </c>
      <c r="E43" s="73">
        <f>'Class List'!E27</f>
        <v>0</v>
      </c>
      <c r="F43" s="214"/>
      <c r="G43" s="215"/>
      <c r="H43" s="215"/>
      <c r="I43" s="215"/>
      <c r="J43" s="215"/>
      <c r="K43" s="216"/>
      <c r="L43" s="217">
        <f t="shared" si="14"/>
        <v>0</v>
      </c>
      <c r="M43" s="218">
        <f t="shared" si="1"/>
        <v>0</v>
      </c>
      <c r="N43" s="219" t="str">
        <f>LOOKUP(M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3" s="220">
        <f t="shared" si="2"/>
        <v>0.6</v>
      </c>
      <c r="P43" s="214"/>
      <c r="Q43" s="215"/>
      <c r="R43" s="215"/>
      <c r="S43" s="215"/>
      <c r="T43" s="215"/>
      <c r="U43" s="216"/>
      <c r="V43" s="217">
        <f t="shared" si="15"/>
        <v>0</v>
      </c>
      <c r="W43" s="218">
        <f t="shared" si="4"/>
        <v>0</v>
      </c>
      <c r="X43" s="219" t="str">
        <f>LOOKUP(W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3" s="220">
        <f t="shared" si="5"/>
        <v>1.4</v>
      </c>
      <c r="Z43" s="221"/>
      <c r="AA43" s="222">
        <f t="shared" si="6"/>
        <v>0</v>
      </c>
      <c r="AB43" s="223" t="str">
        <f>LOOKUP(AA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3" s="224">
        <f t="shared" si="7"/>
        <v>1</v>
      </c>
      <c r="AD43" s="214"/>
      <c r="AE43" s="225">
        <f t="shared" si="8"/>
        <v>0</v>
      </c>
      <c r="AF43" s="219" t="str">
        <f>LOOKUP(AE43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3" s="226">
        <f t="shared" si="9"/>
        <v>1</v>
      </c>
      <c r="AH43" s="34">
        <f t="shared" si="16"/>
        <v>4</v>
      </c>
      <c r="AI43" s="177">
        <f t="shared" si="11"/>
        <v>2</v>
      </c>
      <c r="AJ43" s="5">
        <f>PRELIM!AH43</f>
        <v>4</v>
      </c>
      <c r="AK43" s="179">
        <f t="shared" si="12"/>
        <v>2</v>
      </c>
      <c r="AL43" s="23">
        <f t="shared" si="17"/>
        <v>4</v>
      </c>
    </row>
    <row r="44" spans="1:38" x14ac:dyDescent="0.2">
      <c r="A44" s="61">
        <f>'Class List'!A28</f>
        <v>26</v>
      </c>
      <c r="B44" s="71">
        <f>'Class List'!B28</f>
        <v>0</v>
      </c>
      <c r="C44" s="72" t="str">
        <f>'Class List'!C28</f>
        <v>,</v>
      </c>
      <c r="D44" s="72">
        <f>'Class List'!D28</f>
        <v>0</v>
      </c>
      <c r="E44" s="73">
        <f>'Class List'!E28</f>
        <v>0</v>
      </c>
      <c r="F44" s="214"/>
      <c r="G44" s="215"/>
      <c r="H44" s="215"/>
      <c r="I44" s="215"/>
      <c r="J44" s="215"/>
      <c r="K44" s="216"/>
      <c r="L44" s="217">
        <f t="shared" si="14"/>
        <v>0</v>
      </c>
      <c r="M44" s="218">
        <f t="shared" si="1"/>
        <v>0</v>
      </c>
      <c r="N44" s="219" t="str">
        <f>LOOKUP(M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4" s="220">
        <f t="shared" si="2"/>
        <v>0.6</v>
      </c>
      <c r="P44" s="214"/>
      <c r="Q44" s="215"/>
      <c r="R44" s="215"/>
      <c r="S44" s="215"/>
      <c r="T44" s="215"/>
      <c r="U44" s="216"/>
      <c r="V44" s="217">
        <f t="shared" si="15"/>
        <v>0</v>
      </c>
      <c r="W44" s="218">
        <f t="shared" si="4"/>
        <v>0</v>
      </c>
      <c r="X44" s="219" t="str">
        <f>LOOKUP(W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4" s="220">
        <f t="shared" si="5"/>
        <v>1.4</v>
      </c>
      <c r="Z44" s="221"/>
      <c r="AA44" s="222">
        <f t="shared" si="6"/>
        <v>0</v>
      </c>
      <c r="AB44" s="223" t="str">
        <f>LOOKUP(AA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4" s="224">
        <f t="shared" si="7"/>
        <v>1</v>
      </c>
      <c r="AD44" s="214"/>
      <c r="AE44" s="225">
        <f t="shared" si="8"/>
        <v>0</v>
      </c>
      <c r="AF44" s="219" t="str">
        <f>LOOKUP(AE44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4" s="226">
        <f t="shared" si="9"/>
        <v>1</v>
      </c>
      <c r="AH44" s="34">
        <f t="shared" si="16"/>
        <v>4</v>
      </c>
      <c r="AI44" s="177">
        <f t="shared" si="11"/>
        <v>2</v>
      </c>
      <c r="AJ44" s="5">
        <f>PRELIM!AH44</f>
        <v>4</v>
      </c>
      <c r="AK44" s="179">
        <f t="shared" si="12"/>
        <v>2</v>
      </c>
      <c r="AL44" s="23">
        <f t="shared" si="17"/>
        <v>4</v>
      </c>
    </row>
    <row r="45" spans="1:38" x14ac:dyDescent="0.2">
      <c r="A45" s="61">
        <f>'Class List'!A29</f>
        <v>27</v>
      </c>
      <c r="B45" s="71">
        <f>'Class List'!B29</f>
        <v>0</v>
      </c>
      <c r="C45" s="72" t="str">
        <f>'Class List'!C29</f>
        <v>,</v>
      </c>
      <c r="D45" s="72">
        <f>'Class List'!D29</f>
        <v>0</v>
      </c>
      <c r="E45" s="73">
        <f>'Class List'!E29</f>
        <v>0</v>
      </c>
      <c r="F45" s="214"/>
      <c r="G45" s="215"/>
      <c r="H45" s="215"/>
      <c r="I45" s="215"/>
      <c r="J45" s="215"/>
      <c r="K45" s="216"/>
      <c r="L45" s="217">
        <f t="shared" si="14"/>
        <v>0</v>
      </c>
      <c r="M45" s="218">
        <f t="shared" si="1"/>
        <v>0</v>
      </c>
      <c r="N45" s="219" t="str">
        <f>LOOKUP(M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5" s="220">
        <f t="shared" si="2"/>
        <v>0.6</v>
      </c>
      <c r="P45" s="214"/>
      <c r="Q45" s="215"/>
      <c r="R45" s="215"/>
      <c r="S45" s="215"/>
      <c r="T45" s="215"/>
      <c r="U45" s="216"/>
      <c r="V45" s="217">
        <f t="shared" si="15"/>
        <v>0</v>
      </c>
      <c r="W45" s="218">
        <f t="shared" si="4"/>
        <v>0</v>
      </c>
      <c r="X45" s="219" t="str">
        <f>LOOKUP(W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5" s="220">
        <f t="shared" si="5"/>
        <v>1.4</v>
      </c>
      <c r="Z45" s="221"/>
      <c r="AA45" s="222">
        <f t="shared" si="6"/>
        <v>0</v>
      </c>
      <c r="AB45" s="223" t="str">
        <f>LOOKUP(AA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5" s="224">
        <f t="shared" si="7"/>
        <v>1</v>
      </c>
      <c r="AD45" s="214"/>
      <c r="AE45" s="225">
        <f t="shared" si="8"/>
        <v>0</v>
      </c>
      <c r="AF45" s="219" t="str">
        <f>LOOKUP(AE45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5" s="226">
        <f t="shared" si="9"/>
        <v>1</v>
      </c>
      <c r="AH45" s="34">
        <f t="shared" si="16"/>
        <v>4</v>
      </c>
      <c r="AI45" s="177">
        <f t="shared" si="11"/>
        <v>2</v>
      </c>
      <c r="AJ45" s="5">
        <f>PRELIM!AH45</f>
        <v>4</v>
      </c>
      <c r="AK45" s="179">
        <f t="shared" si="12"/>
        <v>2</v>
      </c>
      <c r="AL45" s="23">
        <f t="shared" si="17"/>
        <v>4</v>
      </c>
    </row>
    <row r="46" spans="1:38" x14ac:dyDescent="0.2">
      <c r="A46" s="61">
        <f>'Class List'!A30</f>
        <v>28</v>
      </c>
      <c r="B46" s="71">
        <f>'Class List'!B30</f>
        <v>0</v>
      </c>
      <c r="C46" s="72" t="str">
        <f>'Class List'!C30</f>
        <v>,</v>
      </c>
      <c r="D46" s="72">
        <f>'Class List'!D30</f>
        <v>0</v>
      </c>
      <c r="E46" s="73">
        <f>'Class List'!E30</f>
        <v>0</v>
      </c>
      <c r="F46" s="214"/>
      <c r="G46" s="215"/>
      <c r="H46" s="215"/>
      <c r="I46" s="215"/>
      <c r="J46" s="215"/>
      <c r="K46" s="216"/>
      <c r="L46" s="217">
        <f t="shared" si="14"/>
        <v>0</v>
      </c>
      <c r="M46" s="218">
        <f t="shared" si="1"/>
        <v>0</v>
      </c>
      <c r="N46" s="219" t="str">
        <f>LOOKUP(M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6" s="220">
        <f t="shared" si="2"/>
        <v>0.6</v>
      </c>
      <c r="P46" s="214"/>
      <c r="Q46" s="215"/>
      <c r="R46" s="215"/>
      <c r="S46" s="215"/>
      <c r="T46" s="215"/>
      <c r="U46" s="216"/>
      <c r="V46" s="217">
        <f t="shared" si="15"/>
        <v>0</v>
      </c>
      <c r="W46" s="218">
        <f t="shared" si="4"/>
        <v>0</v>
      </c>
      <c r="X46" s="219" t="str">
        <f>LOOKUP(W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6" s="220">
        <f t="shared" si="5"/>
        <v>1.4</v>
      </c>
      <c r="Z46" s="221"/>
      <c r="AA46" s="222">
        <f t="shared" si="6"/>
        <v>0</v>
      </c>
      <c r="AB46" s="223" t="str">
        <f>LOOKUP(AA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6" s="224">
        <f t="shared" si="7"/>
        <v>1</v>
      </c>
      <c r="AD46" s="214"/>
      <c r="AE46" s="225">
        <f t="shared" si="8"/>
        <v>0</v>
      </c>
      <c r="AF46" s="219" t="str">
        <f>LOOKUP(AE46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6" s="226">
        <f t="shared" si="9"/>
        <v>1</v>
      </c>
      <c r="AH46" s="34">
        <f t="shared" si="16"/>
        <v>4</v>
      </c>
      <c r="AI46" s="177">
        <f t="shared" si="11"/>
        <v>2</v>
      </c>
      <c r="AJ46" s="5">
        <f>PRELIM!AH46</f>
        <v>4</v>
      </c>
      <c r="AK46" s="179">
        <f t="shared" si="12"/>
        <v>2</v>
      </c>
      <c r="AL46" s="23">
        <f t="shared" si="17"/>
        <v>4</v>
      </c>
    </row>
    <row r="47" spans="1:38" x14ac:dyDescent="0.2">
      <c r="A47" s="61">
        <f>'Class List'!A31</f>
        <v>29</v>
      </c>
      <c r="B47" s="71">
        <f>'Class List'!B31</f>
        <v>0</v>
      </c>
      <c r="C47" s="72" t="str">
        <f>'Class List'!C31</f>
        <v>,</v>
      </c>
      <c r="D47" s="72">
        <f>'Class List'!D31</f>
        <v>0</v>
      </c>
      <c r="E47" s="73">
        <f>'Class List'!E31</f>
        <v>0</v>
      </c>
      <c r="F47" s="214"/>
      <c r="G47" s="215"/>
      <c r="H47" s="215"/>
      <c r="I47" s="215"/>
      <c r="J47" s="215"/>
      <c r="K47" s="216"/>
      <c r="L47" s="217">
        <f t="shared" si="14"/>
        <v>0</v>
      </c>
      <c r="M47" s="218">
        <f t="shared" si="1"/>
        <v>0</v>
      </c>
      <c r="N47" s="219" t="str">
        <f>LOOKUP(M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7" s="220">
        <f t="shared" si="2"/>
        <v>0.6</v>
      </c>
      <c r="P47" s="214"/>
      <c r="Q47" s="215"/>
      <c r="R47" s="215"/>
      <c r="S47" s="215"/>
      <c r="T47" s="215"/>
      <c r="U47" s="216"/>
      <c r="V47" s="217">
        <f t="shared" si="15"/>
        <v>0</v>
      </c>
      <c r="W47" s="218">
        <f t="shared" si="4"/>
        <v>0</v>
      </c>
      <c r="X47" s="219" t="str">
        <f>LOOKUP(W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7" s="220">
        <f t="shared" si="5"/>
        <v>1.4</v>
      </c>
      <c r="Z47" s="221"/>
      <c r="AA47" s="222">
        <f t="shared" si="6"/>
        <v>0</v>
      </c>
      <c r="AB47" s="223" t="str">
        <f>LOOKUP(AA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7" s="224">
        <f t="shared" si="7"/>
        <v>1</v>
      </c>
      <c r="AD47" s="214"/>
      <c r="AE47" s="225">
        <f t="shared" si="8"/>
        <v>0</v>
      </c>
      <c r="AF47" s="219" t="str">
        <f>LOOKUP(AE47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7" s="226">
        <f t="shared" si="9"/>
        <v>1</v>
      </c>
      <c r="AH47" s="34">
        <f t="shared" si="16"/>
        <v>4</v>
      </c>
      <c r="AI47" s="177">
        <f t="shared" si="11"/>
        <v>2</v>
      </c>
      <c r="AJ47" s="5">
        <f>PRELIM!AH47</f>
        <v>4</v>
      </c>
      <c r="AK47" s="179">
        <f t="shared" si="12"/>
        <v>2</v>
      </c>
      <c r="AL47" s="23">
        <f t="shared" si="17"/>
        <v>4</v>
      </c>
    </row>
    <row r="48" spans="1:38" x14ac:dyDescent="0.2">
      <c r="A48" s="61">
        <f>'Class List'!A32</f>
        <v>30</v>
      </c>
      <c r="B48" s="71">
        <f>'Class List'!B32</f>
        <v>0</v>
      </c>
      <c r="C48" s="72" t="str">
        <f>'Class List'!C32</f>
        <v>,</v>
      </c>
      <c r="D48" s="72">
        <f>'Class List'!D32</f>
        <v>0</v>
      </c>
      <c r="E48" s="73">
        <f>'Class List'!E32</f>
        <v>0</v>
      </c>
      <c r="F48" s="214"/>
      <c r="G48" s="215"/>
      <c r="H48" s="215"/>
      <c r="I48" s="215"/>
      <c r="J48" s="215"/>
      <c r="K48" s="216"/>
      <c r="L48" s="217">
        <f t="shared" si="14"/>
        <v>0</v>
      </c>
      <c r="M48" s="218">
        <f t="shared" si="1"/>
        <v>0</v>
      </c>
      <c r="N48" s="219" t="str">
        <f>LOOKUP(M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8" s="220">
        <f t="shared" si="2"/>
        <v>0.6</v>
      </c>
      <c r="P48" s="214"/>
      <c r="Q48" s="215"/>
      <c r="R48" s="215"/>
      <c r="S48" s="215"/>
      <c r="T48" s="215"/>
      <c r="U48" s="216"/>
      <c r="V48" s="217">
        <f t="shared" si="15"/>
        <v>0</v>
      </c>
      <c r="W48" s="218">
        <f t="shared" si="4"/>
        <v>0</v>
      </c>
      <c r="X48" s="219" t="str">
        <f>LOOKUP(W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8" s="220">
        <f t="shared" si="5"/>
        <v>1.4</v>
      </c>
      <c r="Z48" s="221"/>
      <c r="AA48" s="222">
        <f t="shared" si="6"/>
        <v>0</v>
      </c>
      <c r="AB48" s="223" t="str">
        <f>LOOKUP(AA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8" s="224">
        <f t="shared" si="7"/>
        <v>1</v>
      </c>
      <c r="AD48" s="214"/>
      <c r="AE48" s="225">
        <f t="shared" si="8"/>
        <v>0</v>
      </c>
      <c r="AF48" s="219" t="str">
        <f>LOOKUP(AE48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8" s="226">
        <f t="shared" si="9"/>
        <v>1</v>
      </c>
      <c r="AH48" s="34">
        <f t="shared" si="16"/>
        <v>4</v>
      </c>
      <c r="AI48" s="177">
        <f t="shared" si="11"/>
        <v>2</v>
      </c>
      <c r="AJ48" s="5">
        <f>PRELIM!AH48</f>
        <v>4</v>
      </c>
      <c r="AK48" s="179">
        <f t="shared" si="12"/>
        <v>2</v>
      </c>
      <c r="AL48" s="23">
        <f t="shared" si="17"/>
        <v>4</v>
      </c>
    </row>
    <row r="49" spans="1:38" x14ac:dyDescent="0.2">
      <c r="A49" s="61">
        <f>'Class List'!A33</f>
        <v>31</v>
      </c>
      <c r="B49" s="71">
        <f>'Class List'!B33</f>
        <v>0</v>
      </c>
      <c r="C49" s="72" t="str">
        <f>'Class List'!C33</f>
        <v>,</v>
      </c>
      <c r="D49" s="72">
        <f>'Class List'!D33</f>
        <v>0</v>
      </c>
      <c r="E49" s="73">
        <f>'Class List'!E33</f>
        <v>0</v>
      </c>
      <c r="F49" s="214"/>
      <c r="G49" s="215"/>
      <c r="H49" s="215"/>
      <c r="I49" s="215"/>
      <c r="J49" s="215"/>
      <c r="K49" s="216"/>
      <c r="L49" s="217">
        <f t="shared" si="14"/>
        <v>0</v>
      </c>
      <c r="M49" s="218">
        <f t="shared" si="1"/>
        <v>0</v>
      </c>
      <c r="N49" s="219" t="str">
        <f>LOOKUP(M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49" s="220">
        <f t="shared" si="2"/>
        <v>0.6</v>
      </c>
      <c r="P49" s="214"/>
      <c r="Q49" s="215"/>
      <c r="R49" s="215"/>
      <c r="S49" s="215"/>
      <c r="T49" s="215"/>
      <c r="U49" s="216"/>
      <c r="V49" s="217">
        <f t="shared" si="15"/>
        <v>0</v>
      </c>
      <c r="W49" s="218">
        <f t="shared" si="4"/>
        <v>0</v>
      </c>
      <c r="X49" s="219" t="str">
        <f>LOOKUP(W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49" s="220">
        <f t="shared" si="5"/>
        <v>1.4</v>
      </c>
      <c r="Z49" s="221"/>
      <c r="AA49" s="222">
        <f t="shared" si="6"/>
        <v>0</v>
      </c>
      <c r="AB49" s="223" t="str">
        <f>LOOKUP(AA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49" s="224">
        <f t="shared" si="7"/>
        <v>1</v>
      </c>
      <c r="AD49" s="214"/>
      <c r="AE49" s="225">
        <f t="shared" si="8"/>
        <v>0</v>
      </c>
      <c r="AF49" s="219" t="str">
        <f>LOOKUP(AE49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49" s="226">
        <f t="shared" si="9"/>
        <v>1</v>
      </c>
      <c r="AH49" s="34">
        <f t="shared" si="16"/>
        <v>4</v>
      </c>
      <c r="AI49" s="177">
        <f t="shared" si="11"/>
        <v>2</v>
      </c>
      <c r="AJ49" s="5">
        <f>PRELIM!AH49</f>
        <v>4</v>
      </c>
      <c r="AK49" s="179">
        <f t="shared" si="12"/>
        <v>2</v>
      </c>
      <c r="AL49" s="23">
        <f t="shared" si="17"/>
        <v>4</v>
      </c>
    </row>
    <row r="50" spans="1:38" x14ac:dyDescent="0.2">
      <c r="A50" s="61">
        <f>'Class List'!A34</f>
        <v>32</v>
      </c>
      <c r="B50" s="71">
        <f>'Class List'!B34</f>
        <v>0</v>
      </c>
      <c r="C50" s="72" t="str">
        <f>'Class List'!C34</f>
        <v>,</v>
      </c>
      <c r="D50" s="72">
        <f>'Class List'!D34</f>
        <v>0</v>
      </c>
      <c r="E50" s="73">
        <f>'Class List'!E34</f>
        <v>0</v>
      </c>
      <c r="F50" s="214"/>
      <c r="G50" s="215"/>
      <c r="H50" s="215"/>
      <c r="I50" s="215"/>
      <c r="J50" s="215"/>
      <c r="K50" s="216"/>
      <c r="L50" s="217">
        <f t="shared" si="14"/>
        <v>0</v>
      </c>
      <c r="M50" s="218">
        <f t="shared" si="1"/>
        <v>0</v>
      </c>
      <c r="N50" s="219" t="str">
        <f>LOOKUP(M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0" s="220">
        <f t="shared" si="2"/>
        <v>0.6</v>
      </c>
      <c r="P50" s="214"/>
      <c r="Q50" s="215"/>
      <c r="R50" s="215"/>
      <c r="S50" s="215"/>
      <c r="T50" s="215"/>
      <c r="U50" s="216"/>
      <c r="V50" s="217">
        <f t="shared" si="15"/>
        <v>0</v>
      </c>
      <c r="W50" s="218">
        <f t="shared" si="4"/>
        <v>0</v>
      </c>
      <c r="X50" s="219" t="str">
        <f>LOOKUP(W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0" s="220">
        <f t="shared" si="5"/>
        <v>1.4</v>
      </c>
      <c r="Z50" s="221"/>
      <c r="AA50" s="222">
        <f t="shared" si="6"/>
        <v>0</v>
      </c>
      <c r="AB50" s="223" t="str">
        <f>LOOKUP(AA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0" s="224">
        <f t="shared" si="7"/>
        <v>1</v>
      </c>
      <c r="AD50" s="214"/>
      <c r="AE50" s="225">
        <f t="shared" si="8"/>
        <v>0</v>
      </c>
      <c r="AF50" s="219" t="str">
        <f>LOOKUP(AE50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0" s="226">
        <f t="shared" si="9"/>
        <v>1</v>
      </c>
      <c r="AH50" s="34">
        <f t="shared" si="16"/>
        <v>4</v>
      </c>
      <c r="AI50" s="177">
        <f t="shared" si="11"/>
        <v>2</v>
      </c>
      <c r="AJ50" s="5">
        <f>PRELIM!AH50</f>
        <v>4</v>
      </c>
      <c r="AK50" s="179">
        <f t="shared" si="12"/>
        <v>2</v>
      </c>
      <c r="AL50" s="23">
        <f t="shared" si="17"/>
        <v>4</v>
      </c>
    </row>
    <row r="51" spans="1:38" x14ac:dyDescent="0.2">
      <c r="A51" s="61">
        <f>'Class List'!A35</f>
        <v>33</v>
      </c>
      <c r="B51" s="71">
        <f>'Class List'!B35</f>
        <v>0</v>
      </c>
      <c r="C51" s="72" t="str">
        <f>'Class List'!C35</f>
        <v>,</v>
      </c>
      <c r="D51" s="72">
        <f>'Class List'!D35</f>
        <v>0</v>
      </c>
      <c r="E51" s="73">
        <f>'Class List'!E35</f>
        <v>0</v>
      </c>
      <c r="F51" s="214"/>
      <c r="G51" s="215"/>
      <c r="H51" s="215"/>
      <c r="I51" s="215"/>
      <c r="J51" s="215"/>
      <c r="K51" s="216"/>
      <c r="L51" s="217">
        <f t="shared" si="14"/>
        <v>0</v>
      </c>
      <c r="M51" s="218">
        <f t="shared" si="1"/>
        <v>0</v>
      </c>
      <c r="N51" s="219" t="str">
        <f>LOOKUP(M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1" s="220">
        <f t="shared" si="2"/>
        <v>0.6</v>
      </c>
      <c r="P51" s="214"/>
      <c r="Q51" s="215"/>
      <c r="R51" s="215"/>
      <c r="S51" s="215"/>
      <c r="T51" s="215"/>
      <c r="U51" s="216"/>
      <c r="V51" s="217">
        <f t="shared" si="15"/>
        <v>0</v>
      </c>
      <c r="W51" s="218">
        <f t="shared" si="4"/>
        <v>0</v>
      </c>
      <c r="X51" s="219" t="str">
        <f>LOOKUP(W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1" s="220">
        <f t="shared" si="5"/>
        <v>1.4</v>
      </c>
      <c r="Z51" s="221"/>
      <c r="AA51" s="222">
        <f t="shared" si="6"/>
        <v>0</v>
      </c>
      <c r="AB51" s="223" t="str">
        <f>LOOKUP(AA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1" s="224">
        <f t="shared" si="7"/>
        <v>1</v>
      </c>
      <c r="AD51" s="214"/>
      <c r="AE51" s="225">
        <f t="shared" si="8"/>
        <v>0</v>
      </c>
      <c r="AF51" s="219" t="str">
        <f>LOOKUP(AE51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1" s="226">
        <f t="shared" si="9"/>
        <v>1</v>
      </c>
      <c r="AH51" s="34">
        <f t="shared" si="16"/>
        <v>4</v>
      </c>
      <c r="AI51" s="177">
        <f t="shared" si="11"/>
        <v>2</v>
      </c>
      <c r="AJ51" s="5">
        <f>PRELIM!AH51</f>
        <v>4</v>
      </c>
      <c r="AK51" s="179">
        <f t="shared" si="12"/>
        <v>2</v>
      </c>
      <c r="AL51" s="23">
        <f t="shared" si="17"/>
        <v>4</v>
      </c>
    </row>
    <row r="52" spans="1:38" x14ac:dyDescent="0.2">
      <c r="A52" s="61">
        <f>'Class List'!A36</f>
        <v>34</v>
      </c>
      <c r="B52" s="71">
        <f>'Class List'!B36</f>
        <v>0</v>
      </c>
      <c r="C52" s="72" t="str">
        <f>'Class List'!C36</f>
        <v>,</v>
      </c>
      <c r="D52" s="72">
        <f>'Class List'!D36</f>
        <v>0</v>
      </c>
      <c r="E52" s="73">
        <f>'Class List'!E36</f>
        <v>0</v>
      </c>
      <c r="F52" s="214"/>
      <c r="G52" s="215"/>
      <c r="H52" s="215"/>
      <c r="I52" s="215"/>
      <c r="J52" s="215"/>
      <c r="K52" s="216"/>
      <c r="L52" s="217">
        <f t="shared" si="14"/>
        <v>0</v>
      </c>
      <c r="M52" s="218">
        <f t="shared" si="1"/>
        <v>0</v>
      </c>
      <c r="N52" s="219" t="str">
        <f>LOOKUP(M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2" s="220">
        <f t="shared" si="2"/>
        <v>0.6</v>
      </c>
      <c r="P52" s="214"/>
      <c r="Q52" s="215"/>
      <c r="R52" s="215"/>
      <c r="S52" s="215"/>
      <c r="T52" s="215"/>
      <c r="U52" s="216"/>
      <c r="V52" s="217">
        <f t="shared" si="15"/>
        <v>0</v>
      </c>
      <c r="W52" s="218">
        <f t="shared" si="4"/>
        <v>0</v>
      </c>
      <c r="X52" s="219" t="str">
        <f>LOOKUP(W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2" s="220">
        <f t="shared" si="5"/>
        <v>1.4</v>
      </c>
      <c r="Z52" s="221"/>
      <c r="AA52" s="222">
        <f t="shared" si="6"/>
        <v>0</v>
      </c>
      <c r="AB52" s="223" t="str">
        <f>LOOKUP(AA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2" s="224">
        <f t="shared" si="7"/>
        <v>1</v>
      </c>
      <c r="AD52" s="214"/>
      <c r="AE52" s="225">
        <f t="shared" si="8"/>
        <v>0</v>
      </c>
      <c r="AF52" s="219" t="str">
        <f>LOOKUP(AE52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2" s="226">
        <f t="shared" si="9"/>
        <v>1</v>
      </c>
      <c r="AH52" s="34">
        <f t="shared" si="16"/>
        <v>4</v>
      </c>
      <c r="AI52" s="177">
        <f t="shared" si="11"/>
        <v>2</v>
      </c>
      <c r="AJ52" s="5">
        <f>PRELIM!AH52</f>
        <v>4</v>
      </c>
      <c r="AK52" s="179">
        <f t="shared" si="12"/>
        <v>2</v>
      </c>
      <c r="AL52" s="23">
        <f t="shared" si="17"/>
        <v>4</v>
      </c>
    </row>
    <row r="53" spans="1:38" x14ac:dyDescent="0.2">
      <c r="A53" s="61">
        <f>'Class List'!A37</f>
        <v>35</v>
      </c>
      <c r="B53" s="71">
        <f>'Class List'!B37</f>
        <v>0</v>
      </c>
      <c r="C53" s="72" t="str">
        <f>'Class List'!C37</f>
        <v>,</v>
      </c>
      <c r="D53" s="72">
        <f>'Class List'!D37</f>
        <v>0</v>
      </c>
      <c r="E53" s="73">
        <f>'Class List'!E37</f>
        <v>0</v>
      </c>
      <c r="F53" s="214"/>
      <c r="G53" s="215"/>
      <c r="H53" s="215"/>
      <c r="I53" s="215"/>
      <c r="J53" s="215"/>
      <c r="K53" s="216"/>
      <c r="L53" s="217">
        <f t="shared" si="14"/>
        <v>0</v>
      </c>
      <c r="M53" s="218">
        <f t="shared" si="1"/>
        <v>0</v>
      </c>
      <c r="N53" s="219" t="str">
        <f>LOOKUP(M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3" s="220">
        <f t="shared" si="2"/>
        <v>0.6</v>
      </c>
      <c r="P53" s="214"/>
      <c r="Q53" s="215"/>
      <c r="R53" s="215"/>
      <c r="S53" s="215"/>
      <c r="T53" s="215"/>
      <c r="U53" s="216"/>
      <c r="V53" s="217">
        <f t="shared" si="15"/>
        <v>0</v>
      </c>
      <c r="W53" s="218">
        <f t="shared" si="4"/>
        <v>0</v>
      </c>
      <c r="X53" s="219" t="str">
        <f>LOOKUP(W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3" s="220">
        <f t="shared" si="5"/>
        <v>1.4</v>
      </c>
      <c r="Z53" s="221"/>
      <c r="AA53" s="222">
        <f t="shared" si="6"/>
        <v>0</v>
      </c>
      <c r="AB53" s="223" t="str">
        <f>LOOKUP(AA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3" s="224">
        <f t="shared" si="7"/>
        <v>1</v>
      </c>
      <c r="AD53" s="214"/>
      <c r="AE53" s="225">
        <f t="shared" si="8"/>
        <v>0</v>
      </c>
      <c r="AF53" s="219" t="str">
        <f>LOOKUP(AE53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3" s="226">
        <f t="shared" si="9"/>
        <v>1</v>
      </c>
      <c r="AH53" s="34">
        <f t="shared" si="16"/>
        <v>4</v>
      </c>
      <c r="AI53" s="177">
        <f t="shared" si="11"/>
        <v>2</v>
      </c>
      <c r="AJ53" s="5">
        <f>PRELIM!AH53</f>
        <v>4</v>
      </c>
      <c r="AK53" s="179">
        <f t="shared" si="12"/>
        <v>2</v>
      </c>
      <c r="AL53" s="23">
        <f t="shared" si="17"/>
        <v>4</v>
      </c>
    </row>
    <row r="54" spans="1:38" x14ac:dyDescent="0.2">
      <c r="A54" s="61">
        <f>'Class List'!A38</f>
        <v>36</v>
      </c>
      <c r="B54" s="71">
        <f>'Class List'!B38</f>
        <v>0</v>
      </c>
      <c r="C54" s="72" t="str">
        <f>'Class List'!C38</f>
        <v>,</v>
      </c>
      <c r="D54" s="72">
        <f>'Class List'!D38</f>
        <v>0</v>
      </c>
      <c r="E54" s="73">
        <f>'Class List'!E38</f>
        <v>0</v>
      </c>
      <c r="F54" s="214"/>
      <c r="G54" s="215"/>
      <c r="H54" s="215"/>
      <c r="I54" s="215"/>
      <c r="J54" s="215"/>
      <c r="K54" s="216"/>
      <c r="L54" s="217">
        <f t="shared" si="14"/>
        <v>0</v>
      </c>
      <c r="M54" s="218">
        <f t="shared" si="1"/>
        <v>0</v>
      </c>
      <c r="N54" s="219" t="str">
        <f>LOOKUP(M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4" s="220">
        <f t="shared" si="2"/>
        <v>0.6</v>
      </c>
      <c r="P54" s="214"/>
      <c r="Q54" s="215"/>
      <c r="R54" s="215"/>
      <c r="S54" s="215"/>
      <c r="T54" s="215"/>
      <c r="U54" s="216"/>
      <c r="V54" s="217">
        <f t="shared" si="15"/>
        <v>0</v>
      </c>
      <c r="W54" s="218">
        <f t="shared" si="4"/>
        <v>0</v>
      </c>
      <c r="X54" s="219" t="str">
        <f>LOOKUP(W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4" s="220">
        <f t="shared" si="5"/>
        <v>1.4</v>
      </c>
      <c r="Z54" s="221"/>
      <c r="AA54" s="222">
        <f t="shared" si="6"/>
        <v>0</v>
      </c>
      <c r="AB54" s="223" t="str">
        <f>LOOKUP(AA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4" s="224">
        <f t="shared" si="7"/>
        <v>1</v>
      </c>
      <c r="AD54" s="214"/>
      <c r="AE54" s="225">
        <f t="shared" si="8"/>
        <v>0</v>
      </c>
      <c r="AF54" s="219" t="str">
        <f>LOOKUP(AE54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4" s="226">
        <f t="shared" si="9"/>
        <v>1</v>
      </c>
      <c r="AH54" s="34">
        <f t="shared" si="16"/>
        <v>4</v>
      </c>
      <c r="AI54" s="177">
        <f t="shared" si="11"/>
        <v>2</v>
      </c>
      <c r="AJ54" s="5">
        <f>PRELIM!AH54</f>
        <v>4</v>
      </c>
      <c r="AK54" s="179">
        <f t="shared" si="12"/>
        <v>2</v>
      </c>
      <c r="AL54" s="23">
        <f t="shared" si="17"/>
        <v>4</v>
      </c>
    </row>
    <row r="55" spans="1:38" x14ac:dyDescent="0.2">
      <c r="A55" s="61">
        <f>'Class List'!A39</f>
        <v>37</v>
      </c>
      <c r="B55" s="71">
        <f>'Class List'!B39</f>
        <v>0</v>
      </c>
      <c r="C55" s="72" t="str">
        <f>'Class List'!C39</f>
        <v>,</v>
      </c>
      <c r="D55" s="72">
        <f>'Class List'!D39</f>
        <v>0</v>
      </c>
      <c r="E55" s="73">
        <f>'Class List'!E39</f>
        <v>0</v>
      </c>
      <c r="F55" s="214"/>
      <c r="G55" s="215"/>
      <c r="H55" s="215"/>
      <c r="I55" s="215"/>
      <c r="J55" s="215"/>
      <c r="K55" s="216"/>
      <c r="L55" s="217">
        <f t="shared" si="14"/>
        <v>0</v>
      </c>
      <c r="M55" s="218">
        <f t="shared" si="1"/>
        <v>0</v>
      </c>
      <c r="N55" s="219" t="str">
        <f>LOOKUP(M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5" s="220">
        <f t="shared" si="2"/>
        <v>0.6</v>
      </c>
      <c r="P55" s="214"/>
      <c r="Q55" s="215"/>
      <c r="R55" s="215"/>
      <c r="S55" s="215"/>
      <c r="T55" s="215"/>
      <c r="U55" s="216"/>
      <c r="V55" s="217">
        <f t="shared" si="15"/>
        <v>0</v>
      </c>
      <c r="W55" s="218">
        <f t="shared" si="4"/>
        <v>0</v>
      </c>
      <c r="X55" s="219" t="str">
        <f>LOOKUP(W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5" s="220">
        <f t="shared" si="5"/>
        <v>1.4</v>
      </c>
      <c r="Z55" s="221"/>
      <c r="AA55" s="222">
        <f t="shared" si="6"/>
        <v>0</v>
      </c>
      <c r="AB55" s="223" t="str">
        <f>LOOKUP(AA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5" s="224">
        <f t="shared" si="7"/>
        <v>1</v>
      </c>
      <c r="AD55" s="214"/>
      <c r="AE55" s="225">
        <f t="shared" si="8"/>
        <v>0</v>
      </c>
      <c r="AF55" s="219" t="str">
        <f>LOOKUP(AE55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5" s="226">
        <f t="shared" si="9"/>
        <v>1</v>
      </c>
      <c r="AH55" s="34">
        <f t="shared" si="16"/>
        <v>4</v>
      </c>
      <c r="AI55" s="177">
        <f t="shared" si="11"/>
        <v>2</v>
      </c>
      <c r="AJ55" s="5">
        <f>PRELIM!AH55</f>
        <v>4</v>
      </c>
      <c r="AK55" s="179">
        <f t="shared" si="12"/>
        <v>2</v>
      </c>
      <c r="AL55" s="23">
        <f t="shared" si="17"/>
        <v>4</v>
      </c>
    </row>
    <row r="56" spans="1:38" x14ac:dyDescent="0.2">
      <c r="A56" s="61">
        <f>'Class List'!A40</f>
        <v>38</v>
      </c>
      <c r="B56" s="71">
        <f>'Class List'!B40</f>
        <v>0</v>
      </c>
      <c r="C56" s="72" t="str">
        <f>'Class List'!C40</f>
        <v>,</v>
      </c>
      <c r="D56" s="72">
        <f>'Class List'!D40</f>
        <v>0</v>
      </c>
      <c r="E56" s="73">
        <f>'Class List'!E40</f>
        <v>0</v>
      </c>
      <c r="F56" s="214"/>
      <c r="G56" s="215"/>
      <c r="H56" s="215"/>
      <c r="I56" s="215"/>
      <c r="J56" s="215"/>
      <c r="K56" s="216"/>
      <c r="L56" s="217">
        <f t="shared" si="14"/>
        <v>0</v>
      </c>
      <c r="M56" s="218">
        <f t="shared" si="1"/>
        <v>0</v>
      </c>
      <c r="N56" s="219" t="str">
        <f>LOOKUP(M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6" s="220">
        <f t="shared" si="2"/>
        <v>0.6</v>
      </c>
      <c r="P56" s="214"/>
      <c r="Q56" s="215"/>
      <c r="R56" s="215"/>
      <c r="S56" s="215"/>
      <c r="T56" s="215"/>
      <c r="U56" s="216"/>
      <c r="V56" s="217">
        <f t="shared" si="15"/>
        <v>0</v>
      </c>
      <c r="W56" s="218">
        <f t="shared" si="4"/>
        <v>0</v>
      </c>
      <c r="X56" s="219" t="str">
        <f>LOOKUP(W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6" s="220">
        <f t="shared" si="5"/>
        <v>1.4</v>
      </c>
      <c r="Z56" s="221"/>
      <c r="AA56" s="222">
        <f t="shared" si="6"/>
        <v>0</v>
      </c>
      <c r="AB56" s="223" t="str">
        <f>LOOKUP(AA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6" s="224">
        <f t="shared" si="7"/>
        <v>1</v>
      </c>
      <c r="AD56" s="214"/>
      <c r="AE56" s="225">
        <f t="shared" si="8"/>
        <v>0</v>
      </c>
      <c r="AF56" s="219" t="str">
        <f>LOOKUP(AE56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6" s="226">
        <f t="shared" si="9"/>
        <v>1</v>
      </c>
      <c r="AH56" s="34">
        <f t="shared" si="16"/>
        <v>4</v>
      </c>
      <c r="AI56" s="177">
        <f t="shared" si="11"/>
        <v>2</v>
      </c>
      <c r="AJ56" s="5">
        <f>PRELIM!AH56</f>
        <v>4</v>
      </c>
      <c r="AK56" s="179">
        <f t="shared" si="12"/>
        <v>2</v>
      </c>
      <c r="AL56" s="23">
        <f t="shared" si="17"/>
        <v>4</v>
      </c>
    </row>
    <row r="57" spans="1:38" x14ac:dyDescent="0.2">
      <c r="A57" s="61">
        <f>'Class List'!A41</f>
        <v>39</v>
      </c>
      <c r="B57" s="71">
        <f>'Class List'!B41</f>
        <v>0</v>
      </c>
      <c r="C57" s="72" t="str">
        <f>'Class List'!C41</f>
        <v>,</v>
      </c>
      <c r="D57" s="72">
        <f>'Class List'!D41</f>
        <v>0</v>
      </c>
      <c r="E57" s="73">
        <f>'Class List'!E41</f>
        <v>0</v>
      </c>
      <c r="F57" s="214"/>
      <c r="G57" s="215"/>
      <c r="H57" s="215"/>
      <c r="I57" s="215"/>
      <c r="J57" s="215"/>
      <c r="K57" s="216"/>
      <c r="L57" s="217">
        <f t="shared" si="14"/>
        <v>0</v>
      </c>
      <c r="M57" s="218">
        <f t="shared" si="1"/>
        <v>0</v>
      </c>
      <c r="N57" s="219" t="str">
        <f>LOOKUP(M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7" s="220">
        <f t="shared" si="2"/>
        <v>0.6</v>
      </c>
      <c r="P57" s="214"/>
      <c r="Q57" s="215"/>
      <c r="R57" s="215"/>
      <c r="S57" s="215"/>
      <c r="T57" s="215"/>
      <c r="U57" s="216"/>
      <c r="V57" s="217">
        <f t="shared" si="15"/>
        <v>0</v>
      </c>
      <c r="W57" s="218">
        <f t="shared" si="4"/>
        <v>0</v>
      </c>
      <c r="X57" s="219" t="str">
        <f>LOOKUP(W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7" s="220">
        <f t="shared" si="5"/>
        <v>1.4</v>
      </c>
      <c r="Z57" s="221"/>
      <c r="AA57" s="222">
        <f t="shared" si="6"/>
        <v>0</v>
      </c>
      <c r="AB57" s="223" t="str">
        <f>LOOKUP(AA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7" s="224">
        <f t="shared" si="7"/>
        <v>1</v>
      </c>
      <c r="AD57" s="214"/>
      <c r="AE57" s="225">
        <f t="shared" si="8"/>
        <v>0</v>
      </c>
      <c r="AF57" s="219" t="str">
        <f>LOOKUP(AE57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7" s="226">
        <f t="shared" si="9"/>
        <v>1</v>
      </c>
      <c r="AH57" s="34">
        <f t="shared" si="16"/>
        <v>4</v>
      </c>
      <c r="AI57" s="177">
        <f t="shared" si="11"/>
        <v>2</v>
      </c>
      <c r="AJ57" s="5">
        <f>PRELIM!AH57</f>
        <v>4</v>
      </c>
      <c r="AK57" s="179">
        <f t="shared" si="12"/>
        <v>2</v>
      </c>
      <c r="AL57" s="23">
        <f t="shared" si="17"/>
        <v>4</v>
      </c>
    </row>
    <row r="58" spans="1:38" x14ac:dyDescent="0.2">
      <c r="A58" s="61">
        <f>'Class List'!A42</f>
        <v>40</v>
      </c>
      <c r="B58" s="71">
        <f>'Class List'!B42</f>
        <v>0</v>
      </c>
      <c r="C58" s="72" t="str">
        <f>'Class List'!C42</f>
        <v>,</v>
      </c>
      <c r="D58" s="72">
        <f>'Class List'!D42</f>
        <v>0</v>
      </c>
      <c r="E58" s="73">
        <f>'Class List'!E42</f>
        <v>0</v>
      </c>
      <c r="F58" s="214"/>
      <c r="G58" s="215"/>
      <c r="H58" s="215"/>
      <c r="I58" s="215"/>
      <c r="J58" s="215"/>
      <c r="K58" s="216"/>
      <c r="L58" s="217">
        <f t="shared" si="14"/>
        <v>0</v>
      </c>
      <c r="M58" s="218">
        <f t="shared" si="1"/>
        <v>0</v>
      </c>
      <c r="N58" s="219" t="str">
        <f>LOOKUP(M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8" s="220">
        <f t="shared" si="2"/>
        <v>0.6</v>
      </c>
      <c r="P58" s="214"/>
      <c r="Q58" s="215"/>
      <c r="R58" s="215"/>
      <c r="S58" s="215"/>
      <c r="T58" s="215"/>
      <c r="U58" s="216"/>
      <c r="V58" s="217">
        <f t="shared" si="15"/>
        <v>0</v>
      </c>
      <c r="W58" s="218">
        <f t="shared" si="4"/>
        <v>0</v>
      </c>
      <c r="X58" s="219" t="str">
        <f>LOOKUP(W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8" s="220">
        <f t="shared" si="5"/>
        <v>1.4</v>
      </c>
      <c r="Z58" s="221"/>
      <c r="AA58" s="222">
        <f t="shared" si="6"/>
        <v>0</v>
      </c>
      <c r="AB58" s="223" t="str">
        <f>LOOKUP(AA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8" s="224">
        <f t="shared" si="7"/>
        <v>1</v>
      </c>
      <c r="AD58" s="214"/>
      <c r="AE58" s="225">
        <f t="shared" si="8"/>
        <v>0</v>
      </c>
      <c r="AF58" s="219" t="str">
        <f>LOOKUP(AE58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8" s="226">
        <f t="shared" si="9"/>
        <v>1</v>
      </c>
      <c r="AH58" s="34">
        <f t="shared" si="16"/>
        <v>4</v>
      </c>
      <c r="AI58" s="177">
        <f t="shared" si="11"/>
        <v>2</v>
      </c>
      <c r="AJ58" s="5">
        <f>PRELIM!AH58</f>
        <v>4</v>
      </c>
      <c r="AK58" s="179">
        <f t="shared" si="12"/>
        <v>2</v>
      </c>
      <c r="AL58" s="23">
        <f t="shared" si="17"/>
        <v>4</v>
      </c>
    </row>
    <row r="59" spans="1:38" x14ac:dyDescent="0.2">
      <c r="A59" s="61">
        <f>'Class List'!A43</f>
        <v>41</v>
      </c>
      <c r="B59" s="71">
        <f>'Class List'!B43</f>
        <v>0</v>
      </c>
      <c r="C59" s="72" t="str">
        <f>'Class List'!C43</f>
        <v>,</v>
      </c>
      <c r="D59" s="72">
        <f>'Class List'!D43</f>
        <v>0</v>
      </c>
      <c r="E59" s="73">
        <f>'Class List'!E43</f>
        <v>0</v>
      </c>
      <c r="F59" s="214"/>
      <c r="G59" s="215"/>
      <c r="H59" s="215"/>
      <c r="I59" s="215"/>
      <c r="J59" s="215"/>
      <c r="K59" s="216"/>
      <c r="L59" s="217">
        <f t="shared" si="14"/>
        <v>0</v>
      </c>
      <c r="M59" s="218">
        <f t="shared" si="1"/>
        <v>0</v>
      </c>
      <c r="N59" s="219" t="str">
        <f>LOOKUP(M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59" s="220">
        <f t="shared" si="2"/>
        <v>0.6</v>
      </c>
      <c r="P59" s="214"/>
      <c r="Q59" s="215"/>
      <c r="R59" s="215"/>
      <c r="S59" s="215"/>
      <c r="T59" s="215"/>
      <c r="U59" s="216"/>
      <c r="V59" s="217">
        <f t="shared" si="15"/>
        <v>0</v>
      </c>
      <c r="W59" s="218">
        <f t="shared" si="4"/>
        <v>0</v>
      </c>
      <c r="X59" s="219" t="str">
        <f>LOOKUP(W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59" s="220">
        <f t="shared" si="5"/>
        <v>1.4</v>
      </c>
      <c r="Z59" s="221"/>
      <c r="AA59" s="222">
        <f t="shared" si="6"/>
        <v>0</v>
      </c>
      <c r="AB59" s="223" t="str">
        <f>LOOKUP(AA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59" s="224">
        <f t="shared" si="7"/>
        <v>1</v>
      </c>
      <c r="AD59" s="214"/>
      <c r="AE59" s="225">
        <f t="shared" si="8"/>
        <v>0</v>
      </c>
      <c r="AF59" s="219" t="str">
        <f>LOOKUP(AE59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59" s="226">
        <f t="shared" si="9"/>
        <v>1</v>
      </c>
      <c r="AH59" s="34">
        <f t="shared" si="16"/>
        <v>4</v>
      </c>
      <c r="AI59" s="177">
        <f t="shared" si="11"/>
        <v>2</v>
      </c>
      <c r="AJ59" s="5">
        <f>PRELIM!AH59</f>
        <v>4</v>
      </c>
      <c r="AK59" s="179">
        <f t="shared" si="12"/>
        <v>2</v>
      </c>
      <c r="AL59" s="23">
        <f t="shared" si="17"/>
        <v>4</v>
      </c>
    </row>
    <row r="60" spans="1:38" x14ac:dyDescent="0.2">
      <c r="A60" s="61">
        <f>'Class List'!A44</f>
        <v>42</v>
      </c>
      <c r="B60" s="71">
        <f>'Class List'!B44</f>
        <v>0</v>
      </c>
      <c r="C60" s="72" t="str">
        <f>'Class List'!C44</f>
        <v>,</v>
      </c>
      <c r="D60" s="72">
        <f>'Class List'!D44</f>
        <v>0</v>
      </c>
      <c r="E60" s="73">
        <f>'Class List'!E44</f>
        <v>0</v>
      </c>
      <c r="F60" s="214"/>
      <c r="G60" s="215"/>
      <c r="H60" s="215"/>
      <c r="I60" s="215"/>
      <c r="J60" s="215"/>
      <c r="K60" s="216"/>
      <c r="L60" s="217">
        <f t="shared" si="14"/>
        <v>0</v>
      </c>
      <c r="M60" s="218">
        <f t="shared" si="1"/>
        <v>0</v>
      </c>
      <c r="N60" s="219" t="str">
        <f>LOOKUP(M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0" s="220">
        <f t="shared" si="2"/>
        <v>0.6</v>
      </c>
      <c r="P60" s="214"/>
      <c r="Q60" s="215"/>
      <c r="R60" s="215"/>
      <c r="S60" s="215"/>
      <c r="T60" s="215"/>
      <c r="U60" s="216"/>
      <c r="V60" s="217">
        <f t="shared" si="15"/>
        <v>0</v>
      </c>
      <c r="W60" s="218">
        <f t="shared" si="4"/>
        <v>0</v>
      </c>
      <c r="X60" s="219" t="str">
        <f>LOOKUP(W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0" s="220">
        <f t="shared" si="5"/>
        <v>1.4</v>
      </c>
      <c r="Z60" s="221"/>
      <c r="AA60" s="222">
        <f t="shared" si="6"/>
        <v>0</v>
      </c>
      <c r="AB60" s="223" t="str">
        <f>LOOKUP(AA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0" s="224">
        <f t="shared" si="7"/>
        <v>1</v>
      </c>
      <c r="AD60" s="214"/>
      <c r="AE60" s="225">
        <f t="shared" si="8"/>
        <v>0</v>
      </c>
      <c r="AF60" s="219" t="str">
        <f>LOOKUP(AE60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0" s="226">
        <f t="shared" si="9"/>
        <v>1</v>
      </c>
      <c r="AH60" s="34">
        <f t="shared" si="16"/>
        <v>4</v>
      </c>
      <c r="AI60" s="177">
        <f t="shared" si="11"/>
        <v>2</v>
      </c>
      <c r="AJ60" s="5">
        <f>PRELIM!AH60</f>
        <v>4</v>
      </c>
      <c r="AK60" s="179">
        <f t="shared" si="12"/>
        <v>2</v>
      </c>
      <c r="AL60" s="23">
        <f t="shared" si="17"/>
        <v>4</v>
      </c>
    </row>
    <row r="61" spans="1:38" x14ac:dyDescent="0.2">
      <c r="A61" s="61">
        <f>'Class List'!A45</f>
        <v>43</v>
      </c>
      <c r="B61" s="71">
        <f>'Class List'!B45</f>
        <v>0</v>
      </c>
      <c r="C61" s="72" t="str">
        <f>'Class List'!C45</f>
        <v>,</v>
      </c>
      <c r="D61" s="72">
        <f>'Class List'!D45</f>
        <v>0</v>
      </c>
      <c r="E61" s="73">
        <f>'Class List'!E45</f>
        <v>0</v>
      </c>
      <c r="F61" s="214"/>
      <c r="G61" s="215"/>
      <c r="H61" s="215"/>
      <c r="I61" s="215"/>
      <c r="J61" s="215"/>
      <c r="K61" s="216"/>
      <c r="L61" s="217">
        <f t="shared" si="14"/>
        <v>0</v>
      </c>
      <c r="M61" s="218">
        <f t="shared" si="1"/>
        <v>0</v>
      </c>
      <c r="N61" s="219" t="str">
        <f>LOOKUP(M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1" s="220">
        <f t="shared" si="2"/>
        <v>0.6</v>
      </c>
      <c r="P61" s="214"/>
      <c r="Q61" s="215"/>
      <c r="R61" s="215"/>
      <c r="S61" s="215"/>
      <c r="T61" s="215"/>
      <c r="U61" s="216"/>
      <c r="V61" s="217">
        <f t="shared" si="15"/>
        <v>0</v>
      </c>
      <c r="W61" s="218">
        <f t="shared" si="4"/>
        <v>0</v>
      </c>
      <c r="X61" s="219" t="str">
        <f>LOOKUP(W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1" s="220">
        <f t="shared" si="5"/>
        <v>1.4</v>
      </c>
      <c r="Z61" s="221"/>
      <c r="AA61" s="222">
        <f t="shared" si="6"/>
        <v>0</v>
      </c>
      <c r="AB61" s="223" t="str">
        <f>LOOKUP(AA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1" s="224">
        <f t="shared" si="7"/>
        <v>1</v>
      </c>
      <c r="AD61" s="214"/>
      <c r="AE61" s="225">
        <f t="shared" si="8"/>
        <v>0</v>
      </c>
      <c r="AF61" s="219" t="str">
        <f>LOOKUP(AE61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1" s="226">
        <f t="shared" si="9"/>
        <v>1</v>
      </c>
      <c r="AH61" s="34">
        <f t="shared" si="16"/>
        <v>4</v>
      </c>
      <c r="AI61" s="177">
        <f t="shared" si="11"/>
        <v>2</v>
      </c>
      <c r="AJ61" s="5">
        <f>PRELIM!AH61</f>
        <v>4</v>
      </c>
      <c r="AK61" s="179">
        <f t="shared" si="12"/>
        <v>2</v>
      </c>
      <c r="AL61" s="23">
        <f t="shared" si="17"/>
        <v>4</v>
      </c>
    </row>
    <row r="62" spans="1:38" x14ac:dyDescent="0.2">
      <c r="A62" s="61">
        <f>'Class List'!A46</f>
        <v>44</v>
      </c>
      <c r="B62" s="71">
        <f>'Class List'!B46</f>
        <v>0</v>
      </c>
      <c r="C62" s="72" t="str">
        <f>'Class List'!C46</f>
        <v>,</v>
      </c>
      <c r="D62" s="72">
        <f>'Class List'!D46</f>
        <v>0</v>
      </c>
      <c r="E62" s="73">
        <f>'Class List'!E46</f>
        <v>0</v>
      </c>
      <c r="F62" s="214"/>
      <c r="G62" s="215"/>
      <c r="H62" s="215"/>
      <c r="I62" s="215"/>
      <c r="J62" s="215"/>
      <c r="K62" s="216"/>
      <c r="L62" s="217">
        <f t="shared" si="14"/>
        <v>0</v>
      </c>
      <c r="M62" s="218">
        <f t="shared" si="1"/>
        <v>0</v>
      </c>
      <c r="N62" s="219" t="str">
        <f>LOOKUP(M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2" s="220">
        <f t="shared" si="2"/>
        <v>0.6</v>
      </c>
      <c r="P62" s="214"/>
      <c r="Q62" s="215"/>
      <c r="R62" s="215"/>
      <c r="S62" s="215"/>
      <c r="T62" s="215"/>
      <c r="U62" s="216"/>
      <c r="V62" s="217">
        <f t="shared" si="15"/>
        <v>0</v>
      </c>
      <c r="W62" s="218">
        <f t="shared" si="4"/>
        <v>0</v>
      </c>
      <c r="X62" s="219" t="str">
        <f>LOOKUP(W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2" s="220">
        <f t="shared" si="5"/>
        <v>1.4</v>
      </c>
      <c r="Z62" s="221"/>
      <c r="AA62" s="222">
        <f t="shared" si="6"/>
        <v>0</v>
      </c>
      <c r="AB62" s="223" t="str">
        <f>LOOKUP(AA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2" s="224">
        <f t="shared" si="7"/>
        <v>1</v>
      </c>
      <c r="AD62" s="214"/>
      <c r="AE62" s="225">
        <f t="shared" si="8"/>
        <v>0</v>
      </c>
      <c r="AF62" s="219" t="str">
        <f>LOOKUP(AE62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2" s="226">
        <f t="shared" si="9"/>
        <v>1</v>
      </c>
      <c r="AH62" s="34">
        <f t="shared" si="16"/>
        <v>4</v>
      </c>
      <c r="AI62" s="177">
        <f t="shared" si="11"/>
        <v>2</v>
      </c>
      <c r="AJ62" s="5">
        <f>PRELIM!AH62</f>
        <v>4</v>
      </c>
      <c r="AK62" s="179">
        <f t="shared" si="12"/>
        <v>2</v>
      </c>
      <c r="AL62" s="23">
        <f t="shared" si="17"/>
        <v>4</v>
      </c>
    </row>
    <row r="63" spans="1:38" x14ac:dyDescent="0.2">
      <c r="A63" s="61">
        <f>'Class List'!A47</f>
        <v>45</v>
      </c>
      <c r="B63" s="71">
        <f>'Class List'!B47</f>
        <v>0</v>
      </c>
      <c r="C63" s="72" t="str">
        <f>'Class List'!C47</f>
        <v>,</v>
      </c>
      <c r="D63" s="72">
        <f>'Class List'!D47</f>
        <v>0</v>
      </c>
      <c r="E63" s="73">
        <f>'Class List'!E47</f>
        <v>0</v>
      </c>
      <c r="F63" s="214"/>
      <c r="G63" s="215"/>
      <c r="H63" s="215"/>
      <c r="I63" s="215"/>
      <c r="J63" s="215"/>
      <c r="K63" s="216"/>
      <c r="L63" s="217">
        <f t="shared" si="14"/>
        <v>0</v>
      </c>
      <c r="M63" s="218">
        <f t="shared" si="1"/>
        <v>0</v>
      </c>
      <c r="N63" s="219" t="str">
        <f>LOOKUP(M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3" s="220">
        <f t="shared" si="2"/>
        <v>0.6</v>
      </c>
      <c r="P63" s="214"/>
      <c r="Q63" s="215"/>
      <c r="R63" s="215"/>
      <c r="S63" s="215"/>
      <c r="T63" s="215"/>
      <c r="U63" s="216"/>
      <c r="V63" s="217">
        <f t="shared" si="15"/>
        <v>0</v>
      </c>
      <c r="W63" s="218">
        <f t="shared" si="4"/>
        <v>0</v>
      </c>
      <c r="X63" s="219" t="str">
        <f>LOOKUP(W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3" s="220">
        <f t="shared" si="5"/>
        <v>1.4</v>
      </c>
      <c r="Z63" s="221"/>
      <c r="AA63" s="222">
        <f t="shared" si="6"/>
        <v>0</v>
      </c>
      <c r="AB63" s="223" t="str">
        <f>LOOKUP(AA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3" s="224">
        <f t="shared" si="7"/>
        <v>1</v>
      </c>
      <c r="AD63" s="214"/>
      <c r="AE63" s="225">
        <f t="shared" si="8"/>
        <v>0</v>
      </c>
      <c r="AF63" s="219" t="str">
        <f>LOOKUP(AE63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3" s="226">
        <f t="shared" si="9"/>
        <v>1</v>
      </c>
      <c r="AH63" s="34">
        <f t="shared" si="16"/>
        <v>4</v>
      </c>
      <c r="AI63" s="177">
        <f t="shared" si="11"/>
        <v>2</v>
      </c>
      <c r="AJ63" s="5">
        <f>PRELIM!AH63</f>
        <v>4</v>
      </c>
      <c r="AK63" s="179">
        <f t="shared" si="12"/>
        <v>2</v>
      </c>
      <c r="AL63" s="23">
        <f t="shared" si="17"/>
        <v>4</v>
      </c>
    </row>
    <row r="64" spans="1:38" x14ac:dyDescent="0.2">
      <c r="A64" s="61">
        <f>'Class List'!A48</f>
        <v>46</v>
      </c>
      <c r="B64" s="71">
        <f>'Class List'!B48</f>
        <v>0</v>
      </c>
      <c r="C64" s="72" t="str">
        <f>'Class List'!C48</f>
        <v>,</v>
      </c>
      <c r="D64" s="72">
        <f>'Class List'!D48</f>
        <v>0</v>
      </c>
      <c r="E64" s="73">
        <f>'Class List'!E48</f>
        <v>0</v>
      </c>
      <c r="F64" s="214"/>
      <c r="G64" s="215"/>
      <c r="H64" s="215"/>
      <c r="I64" s="215"/>
      <c r="J64" s="215"/>
      <c r="K64" s="216"/>
      <c r="L64" s="217">
        <f t="shared" si="14"/>
        <v>0</v>
      </c>
      <c r="M64" s="218">
        <f t="shared" si="1"/>
        <v>0</v>
      </c>
      <c r="N64" s="219" t="str">
        <f>LOOKUP(M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4" s="220">
        <f t="shared" si="2"/>
        <v>0.6</v>
      </c>
      <c r="P64" s="214"/>
      <c r="Q64" s="215"/>
      <c r="R64" s="215"/>
      <c r="S64" s="215"/>
      <c r="T64" s="215"/>
      <c r="U64" s="216"/>
      <c r="V64" s="217">
        <f t="shared" si="15"/>
        <v>0</v>
      </c>
      <c r="W64" s="218">
        <f t="shared" si="4"/>
        <v>0</v>
      </c>
      <c r="X64" s="219" t="str">
        <f>LOOKUP(W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4" s="220">
        <f t="shared" si="5"/>
        <v>1.4</v>
      </c>
      <c r="Z64" s="221"/>
      <c r="AA64" s="222">
        <f t="shared" si="6"/>
        <v>0</v>
      </c>
      <c r="AB64" s="223" t="str">
        <f>LOOKUP(AA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4" s="224">
        <f t="shared" si="7"/>
        <v>1</v>
      </c>
      <c r="AD64" s="214"/>
      <c r="AE64" s="225">
        <f t="shared" si="8"/>
        <v>0</v>
      </c>
      <c r="AF64" s="219" t="str">
        <f>LOOKUP(AE64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4" s="226">
        <f t="shared" si="9"/>
        <v>1</v>
      </c>
      <c r="AH64" s="34">
        <f t="shared" si="16"/>
        <v>4</v>
      </c>
      <c r="AI64" s="177">
        <f t="shared" si="11"/>
        <v>2</v>
      </c>
      <c r="AJ64" s="5">
        <f>PRELIM!AH64</f>
        <v>4</v>
      </c>
      <c r="AK64" s="179">
        <f t="shared" si="12"/>
        <v>2</v>
      </c>
      <c r="AL64" s="23">
        <f t="shared" si="17"/>
        <v>4</v>
      </c>
    </row>
    <row r="65" spans="1:38" x14ac:dyDescent="0.2">
      <c r="A65" s="61">
        <f>'Class List'!A49</f>
        <v>47</v>
      </c>
      <c r="B65" s="71">
        <f>'Class List'!B49</f>
        <v>0</v>
      </c>
      <c r="C65" s="72" t="str">
        <f>'Class List'!C49</f>
        <v>,</v>
      </c>
      <c r="D65" s="72">
        <f>'Class List'!D49</f>
        <v>0</v>
      </c>
      <c r="E65" s="73">
        <f>'Class List'!E49</f>
        <v>0</v>
      </c>
      <c r="F65" s="214"/>
      <c r="G65" s="215"/>
      <c r="H65" s="215"/>
      <c r="I65" s="215"/>
      <c r="J65" s="215"/>
      <c r="K65" s="216"/>
      <c r="L65" s="217">
        <f t="shared" si="14"/>
        <v>0</v>
      </c>
      <c r="M65" s="218">
        <f t="shared" si="1"/>
        <v>0</v>
      </c>
      <c r="N65" s="219" t="str">
        <f>LOOKUP(M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5" s="220">
        <f t="shared" si="2"/>
        <v>0.6</v>
      </c>
      <c r="P65" s="214"/>
      <c r="Q65" s="215"/>
      <c r="R65" s="215"/>
      <c r="S65" s="215"/>
      <c r="T65" s="215"/>
      <c r="U65" s="216"/>
      <c r="V65" s="217">
        <f t="shared" si="15"/>
        <v>0</v>
      </c>
      <c r="W65" s="218">
        <f t="shared" si="4"/>
        <v>0</v>
      </c>
      <c r="X65" s="219" t="str">
        <f>LOOKUP(W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5" s="220">
        <f t="shared" si="5"/>
        <v>1.4</v>
      </c>
      <c r="Z65" s="221"/>
      <c r="AA65" s="222">
        <f t="shared" si="6"/>
        <v>0</v>
      </c>
      <c r="AB65" s="223" t="str">
        <f>LOOKUP(AA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5" s="224">
        <f t="shared" si="7"/>
        <v>1</v>
      </c>
      <c r="AD65" s="214"/>
      <c r="AE65" s="225">
        <f t="shared" si="8"/>
        <v>0</v>
      </c>
      <c r="AF65" s="219" t="str">
        <f>LOOKUP(AE65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5" s="226">
        <f t="shared" si="9"/>
        <v>1</v>
      </c>
      <c r="AH65" s="34">
        <f t="shared" si="16"/>
        <v>4</v>
      </c>
      <c r="AI65" s="177">
        <f t="shared" si="11"/>
        <v>2</v>
      </c>
      <c r="AJ65" s="5">
        <f>PRELIM!AH65</f>
        <v>4</v>
      </c>
      <c r="AK65" s="179">
        <f t="shared" si="12"/>
        <v>2</v>
      </c>
      <c r="AL65" s="23">
        <f t="shared" si="17"/>
        <v>4</v>
      </c>
    </row>
    <row r="66" spans="1:38" x14ac:dyDescent="0.2">
      <c r="A66" s="61">
        <f>'Class List'!A50</f>
        <v>48</v>
      </c>
      <c r="B66" s="71">
        <f>'Class List'!B50</f>
        <v>0</v>
      </c>
      <c r="C66" s="72" t="str">
        <f>'Class List'!C50</f>
        <v>,</v>
      </c>
      <c r="D66" s="72">
        <f>'Class List'!D50</f>
        <v>0</v>
      </c>
      <c r="E66" s="73">
        <f>'Class List'!E50</f>
        <v>0</v>
      </c>
      <c r="F66" s="214"/>
      <c r="G66" s="215"/>
      <c r="H66" s="215"/>
      <c r="I66" s="215"/>
      <c r="J66" s="215"/>
      <c r="K66" s="216"/>
      <c r="L66" s="217">
        <f t="shared" si="14"/>
        <v>0</v>
      </c>
      <c r="M66" s="218">
        <f t="shared" si="1"/>
        <v>0</v>
      </c>
      <c r="N66" s="219" t="str">
        <f>LOOKUP(M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6" s="220">
        <f t="shared" si="2"/>
        <v>0.6</v>
      </c>
      <c r="P66" s="214"/>
      <c r="Q66" s="215"/>
      <c r="R66" s="215"/>
      <c r="S66" s="215"/>
      <c r="T66" s="215"/>
      <c r="U66" s="216"/>
      <c r="V66" s="217">
        <f t="shared" si="15"/>
        <v>0</v>
      </c>
      <c r="W66" s="218">
        <f t="shared" si="4"/>
        <v>0</v>
      </c>
      <c r="X66" s="219" t="str">
        <f>LOOKUP(W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6" s="220">
        <f t="shared" si="5"/>
        <v>1.4</v>
      </c>
      <c r="Z66" s="221"/>
      <c r="AA66" s="222">
        <f t="shared" si="6"/>
        <v>0</v>
      </c>
      <c r="AB66" s="223" t="str">
        <f>LOOKUP(AA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6" s="224">
        <f t="shared" si="7"/>
        <v>1</v>
      </c>
      <c r="AD66" s="214"/>
      <c r="AE66" s="225">
        <f t="shared" si="8"/>
        <v>0</v>
      </c>
      <c r="AF66" s="219" t="str">
        <f>LOOKUP(AE66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6" s="226">
        <f t="shared" si="9"/>
        <v>1</v>
      </c>
      <c r="AH66" s="34">
        <f t="shared" si="16"/>
        <v>4</v>
      </c>
      <c r="AI66" s="177">
        <f t="shared" si="11"/>
        <v>2</v>
      </c>
      <c r="AJ66" s="5">
        <f>PRELIM!AH66</f>
        <v>4</v>
      </c>
      <c r="AK66" s="179">
        <f t="shared" si="12"/>
        <v>2</v>
      </c>
      <c r="AL66" s="23">
        <f t="shared" si="17"/>
        <v>4</v>
      </c>
    </row>
    <row r="67" spans="1:38" x14ac:dyDescent="0.2">
      <c r="A67" s="61">
        <f>'Class List'!A51</f>
        <v>49</v>
      </c>
      <c r="B67" s="71">
        <f>'Class List'!B51</f>
        <v>0</v>
      </c>
      <c r="C67" s="72" t="str">
        <f>'Class List'!C51</f>
        <v>,</v>
      </c>
      <c r="D67" s="72">
        <f>'Class List'!D51</f>
        <v>0</v>
      </c>
      <c r="E67" s="73">
        <f>'Class List'!E51</f>
        <v>0</v>
      </c>
      <c r="F67" s="214"/>
      <c r="G67" s="215"/>
      <c r="H67" s="215"/>
      <c r="I67" s="215"/>
      <c r="J67" s="215"/>
      <c r="K67" s="216"/>
      <c r="L67" s="217">
        <f t="shared" si="14"/>
        <v>0</v>
      </c>
      <c r="M67" s="218">
        <f t="shared" si="1"/>
        <v>0</v>
      </c>
      <c r="N67" s="219" t="str">
        <f>LOOKUP(M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7" s="220">
        <f t="shared" si="2"/>
        <v>0.6</v>
      </c>
      <c r="P67" s="214"/>
      <c r="Q67" s="215"/>
      <c r="R67" s="215"/>
      <c r="S67" s="215"/>
      <c r="T67" s="215"/>
      <c r="U67" s="216"/>
      <c r="V67" s="217">
        <f t="shared" si="15"/>
        <v>0</v>
      </c>
      <c r="W67" s="218">
        <f t="shared" si="4"/>
        <v>0</v>
      </c>
      <c r="X67" s="219" t="str">
        <f>LOOKUP(W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7" s="220">
        <f t="shared" si="5"/>
        <v>1.4</v>
      </c>
      <c r="Z67" s="221"/>
      <c r="AA67" s="222">
        <f t="shared" si="6"/>
        <v>0</v>
      </c>
      <c r="AB67" s="223" t="str">
        <f>LOOKUP(AA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7" s="224">
        <f t="shared" si="7"/>
        <v>1</v>
      </c>
      <c r="AD67" s="214"/>
      <c r="AE67" s="225">
        <f t="shared" si="8"/>
        <v>0</v>
      </c>
      <c r="AF67" s="219" t="str">
        <f>LOOKUP(AE67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7" s="226">
        <f t="shared" si="9"/>
        <v>1</v>
      </c>
      <c r="AH67" s="34">
        <f t="shared" si="16"/>
        <v>4</v>
      </c>
      <c r="AI67" s="177">
        <f t="shared" si="11"/>
        <v>2</v>
      </c>
      <c r="AJ67" s="5">
        <f>PRELIM!AH67</f>
        <v>4</v>
      </c>
      <c r="AK67" s="179">
        <f t="shared" si="12"/>
        <v>2</v>
      </c>
      <c r="AL67" s="23">
        <f t="shared" si="17"/>
        <v>4</v>
      </c>
    </row>
    <row r="68" spans="1:38" x14ac:dyDescent="0.2">
      <c r="A68" s="61">
        <f>'Class List'!A52</f>
        <v>50</v>
      </c>
      <c r="B68" s="71">
        <f>'Class List'!B52</f>
        <v>0</v>
      </c>
      <c r="C68" s="72" t="str">
        <f>'Class List'!C52</f>
        <v>,</v>
      </c>
      <c r="D68" s="72">
        <f>'Class List'!D52</f>
        <v>0</v>
      </c>
      <c r="E68" s="73">
        <f>'Class List'!E52</f>
        <v>0</v>
      </c>
      <c r="F68" s="214"/>
      <c r="G68" s="215"/>
      <c r="H68" s="215"/>
      <c r="I68" s="215"/>
      <c r="J68" s="215"/>
      <c r="K68" s="216"/>
      <c r="L68" s="217">
        <f t="shared" si="14"/>
        <v>0</v>
      </c>
      <c r="M68" s="218">
        <f t="shared" si="1"/>
        <v>0</v>
      </c>
      <c r="N68" s="219" t="str">
        <f>LOOKUP(M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8" s="220">
        <f t="shared" si="2"/>
        <v>0.6</v>
      </c>
      <c r="P68" s="214"/>
      <c r="Q68" s="215"/>
      <c r="R68" s="215"/>
      <c r="S68" s="215"/>
      <c r="T68" s="215"/>
      <c r="U68" s="216"/>
      <c r="V68" s="217">
        <f t="shared" si="15"/>
        <v>0</v>
      </c>
      <c r="W68" s="218">
        <f t="shared" si="4"/>
        <v>0</v>
      </c>
      <c r="X68" s="219" t="str">
        <f>LOOKUP(W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8" s="220">
        <f t="shared" si="5"/>
        <v>1.4</v>
      </c>
      <c r="Z68" s="221"/>
      <c r="AA68" s="222">
        <f t="shared" si="6"/>
        <v>0</v>
      </c>
      <c r="AB68" s="223" t="str">
        <f>LOOKUP(AA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8" s="224">
        <f t="shared" si="7"/>
        <v>1</v>
      </c>
      <c r="AD68" s="214"/>
      <c r="AE68" s="225">
        <f t="shared" si="8"/>
        <v>0</v>
      </c>
      <c r="AF68" s="219" t="str">
        <f>LOOKUP(AE68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8" s="226">
        <f t="shared" si="9"/>
        <v>1</v>
      </c>
      <c r="AH68" s="34">
        <f t="shared" si="16"/>
        <v>4</v>
      </c>
      <c r="AI68" s="177">
        <f t="shared" si="11"/>
        <v>2</v>
      </c>
      <c r="AJ68" s="5">
        <f>PRELIM!AH68</f>
        <v>4</v>
      </c>
      <c r="AK68" s="179">
        <f t="shared" si="12"/>
        <v>2</v>
      </c>
      <c r="AL68" s="23">
        <f t="shared" si="17"/>
        <v>4</v>
      </c>
    </row>
    <row r="69" spans="1:38" x14ac:dyDescent="0.2">
      <c r="A69" s="61">
        <f>'Class List'!A53</f>
        <v>51</v>
      </c>
      <c r="B69" s="71">
        <f>'Class List'!B53</f>
        <v>0</v>
      </c>
      <c r="C69" s="72" t="str">
        <f>'Class List'!C53</f>
        <v>,</v>
      </c>
      <c r="D69" s="72">
        <f>'Class List'!D53</f>
        <v>0</v>
      </c>
      <c r="E69" s="73">
        <f>'Class List'!E53</f>
        <v>0</v>
      </c>
      <c r="F69" s="214"/>
      <c r="G69" s="215"/>
      <c r="H69" s="215"/>
      <c r="I69" s="215"/>
      <c r="J69" s="215"/>
      <c r="K69" s="216"/>
      <c r="L69" s="217">
        <f t="shared" si="14"/>
        <v>0</v>
      </c>
      <c r="M69" s="218">
        <f t="shared" si="1"/>
        <v>0</v>
      </c>
      <c r="N69" s="219" t="str">
        <f>LOOKUP(M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69" s="220">
        <f t="shared" si="2"/>
        <v>0.6</v>
      </c>
      <c r="P69" s="214"/>
      <c r="Q69" s="215"/>
      <c r="R69" s="215"/>
      <c r="S69" s="215"/>
      <c r="T69" s="215"/>
      <c r="U69" s="216"/>
      <c r="V69" s="217">
        <f t="shared" si="15"/>
        <v>0</v>
      </c>
      <c r="W69" s="218">
        <f t="shared" si="4"/>
        <v>0</v>
      </c>
      <c r="X69" s="219" t="str">
        <f>LOOKUP(W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69" s="220">
        <f t="shared" si="5"/>
        <v>1.4</v>
      </c>
      <c r="Z69" s="221"/>
      <c r="AA69" s="222">
        <f t="shared" si="6"/>
        <v>0</v>
      </c>
      <c r="AB69" s="223" t="str">
        <f>LOOKUP(AA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69" s="224">
        <f t="shared" si="7"/>
        <v>1</v>
      </c>
      <c r="AD69" s="214"/>
      <c r="AE69" s="225">
        <f t="shared" si="8"/>
        <v>0</v>
      </c>
      <c r="AF69" s="219" t="str">
        <f>LOOKUP(AE69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69" s="226">
        <f t="shared" si="9"/>
        <v>1</v>
      </c>
      <c r="AH69" s="34">
        <f t="shared" si="16"/>
        <v>4</v>
      </c>
      <c r="AI69" s="177">
        <f t="shared" si="11"/>
        <v>2</v>
      </c>
      <c r="AJ69" s="5">
        <f>PRELIM!AH69</f>
        <v>4</v>
      </c>
      <c r="AK69" s="179">
        <f t="shared" si="12"/>
        <v>2</v>
      </c>
      <c r="AL69" s="23">
        <f t="shared" si="17"/>
        <v>4</v>
      </c>
    </row>
    <row r="70" spans="1:38" x14ac:dyDescent="0.2">
      <c r="A70" s="61">
        <f>'Class List'!A54</f>
        <v>52</v>
      </c>
      <c r="B70" s="71">
        <f>'Class List'!B54</f>
        <v>0</v>
      </c>
      <c r="C70" s="72" t="str">
        <f>'Class List'!C54</f>
        <v>,</v>
      </c>
      <c r="D70" s="72">
        <f>'Class List'!D54</f>
        <v>0</v>
      </c>
      <c r="E70" s="73">
        <f>'Class List'!E54</f>
        <v>0</v>
      </c>
      <c r="F70" s="214"/>
      <c r="G70" s="215"/>
      <c r="H70" s="215"/>
      <c r="I70" s="215"/>
      <c r="J70" s="215"/>
      <c r="K70" s="216"/>
      <c r="L70" s="217">
        <f t="shared" si="14"/>
        <v>0</v>
      </c>
      <c r="M70" s="218">
        <f t="shared" si="1"/>
        <v>0</v>
      </c>
      <c r="N70" s="219" t="str">
        <f>LOOKUP(M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0" s="220">
        <f t="shared" si="2"/>
        <v>0.6</v>
      </c>
      <c r="P70" s="214"/>
      <c r="Q70" s="215"/>
      <c r="R70" s="215"/>
      <c r="S70" s="215"/>
      <c r="T70" s="215"/>
      <c r="U70" s="216"/>
      <c r="V70" s="217">
        <f t="shared" si="15"/>
        <v>0</v>
      </c>
      <c r="W70" s="218">
        <f t="shared" si="4"/>
        <v>0</v>
      </c>
      <c r="X70" s="219" t="str">
        <f>LOOKUP(W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0" s="220">
        <f t="shared" si="5"/>
        <v>1.4</v>
      </c>
      <c r="Z70" s="221"/>
      <c r="AA70" s="222">
        <f t="shared" si="6"/>
        <v>0</v>
      </c>
      <c r="AB70" s="223" t="str">
        <f>LOOKUP(AA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0" s="224">
        <f t="shared" si="7"/>
        <v>1</v>
      </c>
      <c r="AD70" s="214"/>
      <c r="AE70" s="225">
        <f t="shared" si="8"/>
        <v>0</v>
      </c>
      <c r="AF70" s="219" t="str">
        <f>LOOKUP(AE70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0" s="226">
        <f t="shared" si="9"/>
        <v>1</v>
      </c>
      <c r="AH70" s="34">
        <f t="shared" si="16"/>
        <v>4</v>
      </c>
      <c r="AI70" s="177">
        <f t="shared" si="11"/>
        <v>2</v>
      </c>
      <c r="AJ70" s="5">
        <f>PRELIM!AH70</f>
        <v>4</v>
      </c>
      <c r="AK70" s="179">
        <f t="shared" si="12"/>
        <v>2</v>
      </c>
      <c r="AL70" s="23">
        <f t="shared" si="17"/>
        <v>4</v>
      </c>
    </row>
    <row r="71" spans="1:38" x14ac:dyDescent="0.2">
      <c r="A71" s="61">
        <f>'Class List'!A55</f>
        <v>53</v>
      </c>
      <c r="B71" s="71">
        <f>'Class List'!B55</f>
        <v>0</v>
      </c>
      <c r="C71" s="72" t="str">
        <f>'Class List'!C55</f>
        <v>,</v>
      </c>
      <c r="D71" s="72">
        <f>'Class List'!D55</f>
        <v>0</v>
      </c>
      <c r="E71" s="73">
        <f>'Class List'!E55</f>
        <v>0</v>
      </c>
      <c r="F71" s="214"/>
      <c r="G71" s="215"/>
      <c r="H71" s="215"/>
      <c r="I71" s="215"/>
      <c r="J71" s="215"/>
      <c r="K71" s="216"/>
      <c r="L71" s="217">
        <f t="shared" si="14"/>
        <v>0</v>
      </c>
      <c r="M71" s="218">
        <f t="shared" si="1"/>
        <v>0</v>
      </c>
      <c r="N71" s="219" t="str">
        <f>LOOKUP(M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1" s="220">
        <f t="shared" si="2"/>
        <v>0.6</v>
      </c>
      <c r="P71" s="214"/>
      <c r="Q71" s="215"/>
      <c r="R71" s="215"/>
      <c r="S71" s="215"/>
      <c r="T71" s="215"/>
      <c r="U71" s="216"/>
      <c r="V71" s="217">
        <f t="shared" si="15"/>
        <v>0</v>
      </c>
      <c r="W71" s="218">
        <f t="shared" si="4"/>
        <v>0</v>
      </c>
      <c r="X71" s="219" t="str">
        <f>LOOKUP(W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1" s="220">
        <f t="shared" si="5"/>
        <v>1.4</v>
      </c>
      <c r="Z71" s="221"/>
      <c r="AA71" s="222">
        <f t="shared" si="6"/>
        <v>0</v>
      </c>
      <c r="AB71" s="223" t="str">
        <f>LOOKUP(AA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1" s="224">
        <f t="shared" si="7"/>
        <v>1</v>
      </c>
      <c r="AD71" s="214"/>
      <c r="AE71" s="225">
        <f t="shared" si="8"/>
        <v>0</v>
      </c>
      <c r="AF71" s="219" t="str">
        <f>LOOKUP(AE71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1" s="226">
        <f t="shared" si="9"/>
        <v>1</v>
      </c>
      <c r="AH71" s="34">
        <f t="shared" si="16"/>
        <v>4</v>
      </c>
      <c r="AI71" s="177">
        <f t="shared" si="11"/>
        <v>2</v>
      </c>
      <c r="AJ71" s="5">
        <f>PRELIM!AH71</f>
        <v>4</v>
      </c>
      <c r="AK71" s="179">
        <f t="shared" si="12"/>
        <v>2</v>
      </c>
      <c r="AL71" s="23">
        <f t="shared" si="17"/>
        <v>4</v>
      </c>
    </row>
    <row r="72" spans="1:38" x14ac:dyDescent="0.2">
      <c r="A72" s="61">
        <f>'Class List'!A56</f>
        <v>54</v>
      </c>
      <c r="B72" s="71">
        <f>'Class List'!B56</f>
        <v>0</v>
      </c>
      <c r="C72" s="72" t="str">
        <f>'Class List'!C56</f>
        <v>,</v>
      </c>
      <c r="D72" s="72">
        <f>'Class List'!D56</f>
        <v>0</v>
      </c>
      <c r="E72" s="73">
        <f>'Class List'!E56</f>
        <v>0</v>
      </c>
      <c r="F72" s="214"/>
      <c r="G72" s="215"/>
      <c r="H72" s="215"/>
      <c r="I72" s="215"/>
      <c r="J72" s="215"/>
      <c r="K72" s="216"/>
      <c r="L72" s="217">
        <f t="shared" si="14"/>
        <v>0</v>
      </c>
      <c r="M72" s="218">
        <f t="shared" si="1"/>
        <v>0</v>
      </c>
      <c r="N72" s="219" t="str">
        <f>LOOKUP(M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2" s="220">
        <f t="shared" si="2"/>
        <v>0.6</v>
      </c>
      <c r="P72" s="214"/>
      <c r="Q72" s="215"/>
      <c r="R72" s="215"/>
      <c r="S72" s="215"/>
      <c r="T72" s="215"/>
      <c r="U72" s="216"/>
      <c r="V72" s="217">
        <f t="shared" si="15"/>
        <v>0</v>
      </c>
      <c r="W72" s="218">
        <f t="shared" si="4"/>
        <v>0</v>
      </c>
      <c r="X72" s="219" t="str">
        <f>LOOKUP(W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2" s="220">
        <f t="shared" si="5"/>
        <v>1.4</v>
      </c>
      <c r="Z72" s="221"/>
      <c r="AA72" s="222">
        <f t="shared" si="6"/>
        <v>0</v>
      </c>
      <c r="AB72" s="223" t="str">
        <f>LOOKUP(AA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2" s="224">
        <f t="shared" si="7"/>
        <v>1</v>
      </c>
      <c r="AD72" s="214"/>
      <c r="AE72" s="225">
        <f t="shared" si="8"/>
        <v>0</v>
      </c>
      <c r="AF72" s="219" t="str">
        <f>LOOKUP(AE72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2" s="226">
        <f t="shared" si="9"/>
        <v>1</v>
      </c>
      <c r="AH72" s="34">
        <f t="shared" si="16"/>
        <v>4</v>
      </c>
      <c r="AI72" s="177">
        <f t="shared" si="11"/>
        <v>2</v>
      </c>
      <c r="AJ72" s="5">
        <f>PRELIM!AH72</f>
        <v>4</v>
      </c>
      <c r="AK72" s="179">
        <f t="shared" si="12"/>
        <v>2</v>
      </c>
      <c r="AL72" s="23">
        <f t="shared" si="17"/>
        <v>4</v>
      </c>
    </row>
    <row r="73" spans="1:38" x14ac:dyDescent="0.2">
      <c r="A73" s="61">
        <f>'Class List'!A57</f>
        <v>55</v>
      </c>
      <c r="B73" s="71">
        <f>'Class List'!B57</f>
        <v>0</v>
      </c>
      <c r="C73" s="72" t="str">
        <f>'Class List'!C57</f>
        <v>,</v>
      </c>
      <c r="D73" s="72">
        <f>'Class List'!D57</f>
        <v>0</v>
      </c>
      <c r="E73" s="73">
        <f>'Class List'!E57</f>
        <v>0</v>
      </c>
      <c r="F73" s="214"/>
      <c r="G73" s="215"/>
      <c r="H73" s="215"/>
      <c r="I73" s="215"/>
      <c r="J73" s="215"/>
      <c r="K73" s="216"/>
      <c r="L73" s="217">
        <f t="shared" si="14"/>
        <v>0</v>
      </c>
      <c r="M73" s="218">
        <f t="shared" si="1"/>
        <v>0</v>
      </c>
      <c r="N73" s="219" t="str">
        <f>LOOKUP(M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3" s="220">
        <f t="shared" si="2"/>
        <v>0.6</v>
      </c>
      <c r="P73" s="214"/>
      <c r="Q73" s="215"/>
      <c r="R73" s="215"/>
      <c r="S73" s="215"/>
      <c r="T73" s="215"/>
      <c r="U73" s="216"/>
      <c r="V73" s="217">
        <f t="shared" si="15"/>
        <v>0</v>
      </c>
      <c r="W73" s="218">
        <f t="shared" si="4"/>
        <v>0</v>
      </c>
      <c r="X73" s="219" t="str">
        <f>LOOKUP(W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3" s="220">
        <f t="shared" si="5"/>
        <v>1.4</v>
      </c>
      <c r="Z73" s="221"/>
      <c r="AA73" s="222">
        <f t="shared" si="6"/>
        <v>0</v>
      </c>
      <c r="AB73" s="223" t="str">
        <f>LOOKUP(AA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3" s="224">
        <f t="shared" si="7"/>
        <v>1</v>
      </c>
      <c r="AD73" s="214"/>
      <c r="AE73" s="225">
        <f t="shared" si="8"/>
        <v>0</v>
      </c>
      <c r="AF73" s="219" t="str">
        <f>LOOKUP(AE73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3" s="226">
        <f t="shared" si="9"/>
        <v>1</v>
      </c>
      <c r="AH73" s="34">
        <f t="shared" si="16"/>
        <v>4</v>
      </c>
      <c r="AI73" s="177">
        <f t="shared" si="11"/>
        <v>2</v>
      </c>
      <c r="AJ73" s="5">
        <f>PRELIM!AH73</f>
        <v>4</v>
      </c>
      <c r="AK73" s="179">
        <f t="shared" si="12"/>
        <v>2</v>
      </c>
      <c r="AL73" s="23">
        <f t="shared" si="17"/>
        <v>4</v>
      </c>
    </row>
    <row r="74" spans="1:38" x14ac:dyDescent="0.2">
      <c r="A74" s="61">
        <f>'Class List'!A58</f>
        <v>56</v>
      </c>
      <c r="B74" s="71">
        <f>'Class List'!B58</f>
        <v>0</v>
      </c>
      <c r="C74" s="72" t="str">
        <f>'Class List'!C58</f>
        <v>,</v>
      </c>
      <c r="D74" s="72">
        <f>'Class List'!D58</f>
        <v>0</v>
      </c>
      <c r="E74" s="73">
        <f>'Class List'!E58</f>
        <v>0</v>
      </c>
      <c r="F74" s="214"/>
      <c r="G74" s="215"/>
      <c r="H74" s="215"/>
      <c r="I74" s="215"/>
      <c r="J74" s="215"/>
      <c r="K74" s="216"/>
      <c r="L74" s="217">
        <f t="shared" si="14"/>
        <v>0</v>
      </c>
      <c r="M74" s="218">
        <f t="shared" si="1"/>
        <v>0</v>
      </c>
      <c r="N74" s="219" t="str">
        <f>LOOKUP(M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4" s="220">
        <f t="shared" si="2"/>
        <v>0.6</v>
      </c>
      <c r="P74" s="214"/>
      <c r="Q74" s="215"/>
      <c r="R74" s="215"/>
      <c r="S74" s="215"/>
      <c r="T74" s="215"/>
      <c r="U74" s="216"/>
      <c r="V74" s="217">
        <f t="shared" si="15"/>
        <v>0</v>
      </c>
      <c r="W74" s="218">
        <f t="shared" si="4"/>
        <v>0</v>
      </c>
      <c r="X74" s="219" t="str">
        <f>LOOKUP(W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4" s="220">
        <f t="shared" si="5"/>
        <v>1.4</v>
      </c>
      <c r="Z74" s="221"/>
      <c r="AA74" s="222">
        <f t="shared" si="6"/>
        <v>0</v>
      </c>
      <c r="AB74" s="223" t="str">
        <f>LOOKUP(AA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4" s="224">
        <f t="shared" si="7"/>
        <v>1</v>
      </c>
      <c r="AD74" s="214"/>
      <c r="AE74" s="225">
        <f t="shared" si="8"/>
        <v>0</v>
      </c>
      <c r="AF74" s="219" t="str">
        <f>LOOKUP(AE74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4" s="226">
        <f t="shared" si="9"/>
        <v>1</v>
      </c>
      <c r="AH74" s="34">
        <f t="shared" si="16"/>
        <v>4</v>
      </c>
      <c r="AI74" s="177">
        <f t="shared" si="11"/>
        <v>2</v>
      </c>
      <c r="AJ74" s="5">
        <f>PRELIM!AH74</f>
        <v>4</v>
      </c>
      <c r="AK74" s="179">
        <f t="shared" si="12"/>
        <v>2</v>
      </c>
      <c r="AL74" s="23">
        <f t="shared" si="17"/>
        <v>4</v>
      </c>
    </row>
    <row r="75" spans="1:38" x14ac:dyDescent="0.2">
      <c r="A75" s="61">
        <f>'Class List'!A59</f>
        <v>57</v>
      </c>
      <c r="B75" s="71">
        <f>'Class List'!B59</f>
        <v>0</v>
      </c>
      <c r="C75" s="72" t="str">
        <f>'Class List'!C59</f>
        <v>,</v>
      </c>
      <c r="D75" s="72">
        <f>'Class List'!D59</f>
        <v>0</v>
      </c>
      <c r="E75" s="73">
        <f>'Class List'!E59</f>
        <v>0</v>
      </c>
      <c r="F75" s="214"/>
      <c r="G75" s="215"/>
      <c r="H75" s="215"/>
      <c r="I75" s="215"/>
      <c r="J75" s="215"/>
      <c r="K75" s="216"/>
      <c r="L75" s="217">
        <f t="shared" si="14"/>
        <v>0</v>
      </c>
      <c r="M75" s="218">
        <f t="shared" si="1"/>
        <v>0</v>
      </c>
      <c r="N75" s="219" t="str">
        <f>LOOKUP(M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5" s="220">
        <f t="shared" si="2"/>
        <v>0.6</v>
      </c>
      <c r="P75" s="214"/>
      <c r="Q75" s="215"/>
      <c r="R75" s="215"/>
      <c r="S75" s="215"/>
      <c r="T75" s="215"/>
      <c r="U75" s="216"/>
      <c r="V75" s="217">
        <f t="shared" si="15"/>
        <v>0</v>
      </c>
      <c r="W75" s="218">
        <f t="shared" si="4"/>
        <v>0</v>
      </c>
      <c r="X75" s="219" t="str">
        <f>LOOKUP(W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5" s="220">
        <f t="shared" si="5"/>
        <v>1.4</v>
      </c>
      <c r="Z75" s="221"/>
      <c r="AA75" s="222">
        <f t="shared" si="6"/>
        <v>0</v>
      </c>
      <c r="AB75" s="223" t="str">
        <f>LOOKUP(AA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5" s="224">
        <f t="shared" si="7"/>
        <v>1</v>
      </c>
      <c r="AD75" s="214"/>
      <c r="AE75" s="225">
        <f t="shared" si="8"/>
        <v>0</v>
      </c>
      <c r="AF75" s="219" t="str">
        <f>LOOKUP(AE75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5" s="226">
        <f t="shared" si="9"/>
        <v>1</v>
      </c>
      <c r="AH75" s="34">
        <f t="shared" si="16"/>
        <v>4</v>
      </c>
      <c r="AI75" s="177">
        <f t="shared" si="11"/>
        <v>2</v>
      </c>
      <c r="AJ75" s="5">
        <f>PRELIM!AH75</f>
        <v>4</v>
      </c>
      <c r="AK75" s="179">
        <f t="shared" si="12"/>
        <v>2</v>
      </c>
      <c r="AL75" s="23">
        <f t="shared" si="17"/>
        <v>4</v>
      </c>
    </row>
    <row r="76" spans="1:38" x14ac:dyDescent="0.2">
      <c r="A76" s="61">
        <f>'Class List'!A60</f>
        <v>58</v>
      </c>
      <c r="B76" s="71">
        <f>'Class List'!B60</f>
        <v>0</v>
      </c>
      <c r="C76" s="72" t="str">
        <f>'Class List'!C60</f>
        <v>,</v>
      </c>
      <c r="D76" s="72">
        <f>'Class List'!D60</f>
        <v>0</v>
      </c>
      <c r="E76" s="73">
        <f>'Class List'!E60</f>
        <v>0</v>
      </c>
      <c r="F76" s="214"/>
      <c r="G76" s="215"/>
      <c r="H76" s="215"/>
      <c r="I76" s="215"/>
      <c r="J76" s="215"/>
      <c r="K76" s="216"/>
      <c r="L76" s="217">
        <f t="shared" si="14"/>
        <v>0</v>
      </c>
      <c r="M76" s="218">
        <f t="shared" si="1"/>
        <v>0</v>
      </c>
      <c r="N76" s="219" t="str">
        <f>LOOKUP(M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6" s="220">
        <f t="shared" si="2"/>
        <v>0.6</v>
      </c>
      <c r="P76" s="214"/>
      <c r="Q76" s="215"/>
      <c r="R76" s="215"/>
      <c r="S76" s="215"/>
      <c r="T76" s="215"/>
      <c r="U76" s="216"/>
      <c r="V76" s="217">
        <f t="shared" si="15"/>
        <v>0</v>
      </c>
      <c r="W76" s="218">
        <f t="shared" si="4"/>
        <v>0</v>
      </c>
      <c r="X76" s="219" t="str">
        <f>LOOKUP(W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6" s="220">
        <f t="shared" si="5"/>
        <v>1.4</v>
      </c>
      <c r="Z76" s="221"/>
      <c r="AA76" s="222">
        <f t="shared" si="6"/>
        <v>0</v>
      </c>
      <c r="AB76" s="223" t="str">
        <f>LOOKUP(AA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6" s="224">
        <f t="shared" si="7"/>
        <v>1</v>
      </c>
      <c r="AD76" s="214"/>
      <c r="AE76" s="225">
        <f t="shared" si="8"/>
        <v>0</v>
      </c>
      <c r="AF76" s="219" t="str">
        <f>LOOKUP(AE76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6" s="226">
        <f t="shared" si="9"/>
        <v>1</v>
      </c>
      <c r="AH76" s="34">
        <f t="shared" si="16"/>
        <v>4</v>
      </c>
      <c r="AI76" s="177">
        <f t="shared" si="11"/>
        <v>2</v>
      </c>
      <c r="AJ76" s="5">
        <f>PRELIM!AH76</f>
        <v>4</v>
      </c>
      <c r="AK76" s="179">
        <f t="shared" si="12"/>
        <v>2</v>
      </c>
      <c r="AL76" s="23">
        <f t="shared" si="17"/>
        <v>4</v>
      </c>
    </row>
    <row r="77" spans="1:38" x14ac:dyDescent="0.2">
      <c r="A77" s="61">
        <f>'Class List'!A61</f>
        <v>59</v>
      </c>
      <c r="B77" s="71">
        <f>'Class List'!B61</f>
        <v>0</v>
      </c>
      <c r="C77" s="72" t="str">
        <f>'Class List'!C61</f>
        <v>,</v>
      </c>
      <c r="D77" s="72">
        <f>'Class List'!D61</f>
        <v>0</v>
      </c>
      <c r="E77" s="73">
        <f>'Class List'!E61</f>
        <v>0</v>
      </c>
      <c r="F77" s="214"/>
      <c r="G77" s="215"/>
      <c r="H77" s="215"/>
      <c r="I77" s="215"/>
      <c r="J77" s="215"/>
      <c r="K77" s="216"/>
      <c r="L77" s="217">
        <f t="shared" si="14"/>
        <v>0</v>
      </c>
      <c r="M77" s="218">
        <f t="shared" si="1"/>
        <v>0</v>
      </c>
      <c r="N77" s="219" t="str">
        <f>LOOKUP(M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7" s="220">
        <f t="shared" si="2"/>
        <v>0.6</v>
      </c>
      <c r="P77" s="214"/>
      <c r="Q77" s="215"/>
      <c r="R77" s="215"/>
      <c r="S77" s="215"/>
      <c r="T77" s="215"/>
      <c r="U77" s="216"/>
      <c r="V77" s="217">
        <f t="shared" si="15"/>
        <v>0</v>
      </c>
      <c r="W77" s="218">
        <f t="shared" si="4"/>
        <v>0</v>
      </c>
      <c r="X77" s="219" t="str">
        <f>LOOKUP(W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7" s="220">
        <f t="shared" si="5"/>
        <v>1.4</v>
      </c>
      <c r="Z77" s="221"/>
      <c r="AA77" s="222">
        <f t="shared" si="6"/>
        <v>0</v>
      </c>
      <c r="AB77" s="223" t="str">
        <f>LOOKUP(AA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7" s="224">
        <f t="shared" si="7"/>
        <v>1</v>
      </c>
      <c r="AD77" s="214"/>
      <c r="AE77" s="225">
        <f t="shared" si="8"/>
        <v>0</v>
      </c>
      <c r="AF77" s="219" t="str">
        <f>LOOKUP(AE77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7" s="226">
        <f t="shared" si="9"/>
        <v>1</v>
      </c>
      <c r="AH77" s="34">
        <f t="shared" si="16"/>
        <v>4</v>
      </c>
      <c r="AI77" s="177">
        <f t="shared" si="11"/>
        <v>2</v>
      </c>
      <c r="AJ77" s="5">
        <f>PRELIM!AH77</f>
        <v>4</v>
      </c>
      <c r="AK77" s="179">
        <f t="shared" si="12"/>
        <v>2</v>
      </c>
      <c r="AL77" s="23">
        <f t="shared" si="17"/>
        <v>4</v>
      </c>
    </row>
    <row r="78" spans="1:38" ht="17" thickBot="1" x14ac:dyDescent="0.25">
      <c r="A78" s="67">
        <f>'Class List'!A62</f>
        <v>60</v>
      </c>
      <c r="B78" s="74">
        <f>'Class List'!B62</f>
        <v>0</v>
      </c>
      <c r="C78" s="75" t="str">
        <f>'Class List'!C62</f>
        <v>,</v>
      </c>
      <c r="D78" s="75">
        <f>'Class List'!D62</f>
        <v>0</v>
      </c>
      <c r="E78" s="76">
        <f>'Class List'!E62</f>
        <v>0</v>
      </c>
      <c r="F78" s="227"/>
      <c r="G78" s="228"/>
      <c r="H78" s="228"/>
      <c r="I78" s="228"/>
      <c r="J78" s="228"/>
      <c r="K78" s="229"/>
      <c r="L78" s="217">
        <f t="shared" si="14"/>
        <v>0</v>
      </c>
      <c r="M78" s="218">
        <f t="shared" si="1"/>
        <v>0</v>
      </c>
      <c r="N78" s="219" t="str">
        <f>LOOKUP(M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O78" s="220">
        <f t="shared" si="2"/>
        <v>0.6</v>
      </c>
      <c r="P78" s="227"/>
      <c r="Q78" s="228"/>
      <c r="R78" s="228"/>
      <c r="S78" s="228"/>
      <c r="T78" s="228"/>
      <c r="U78" s="229"/>
      <c r="V78" s="217">
        <f t="shared" si="15"/>
        <v>0</v>
      </c>
      <c r="W78" s="218">
        <f t="shared" si="4"/>
        <v>0</v>
      </c>
      <c r="X78" s="219" t="str">
        <f>LOOKUP(W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Y78" s="220">
        <f t="shared" si="5"/>
        <v>1.4</v>
      </c>
      <c r="Z78" s="230"/>
      <c r="AA78" s="222">
        <f t="shared" si="6"/>
        <v>0</v>
      </c>
      <c r="AB78" s="223" t="str">
        <f>LOOKUP(AA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C78" s="224">
        <f t="shared" si="7"/>
        <v>1</v>
      </c>
      <c r="AD78" s="227"/>
      <c r="AE78" s="225">
        <f t="shared" si="8"/>
        <v>0</v>
      </c>
      <c r="AF78" s="219" t="str">
        <f>LOOKUP(AE78,{0,1,9,17,25,33,41,49,57,66,75,76,77,78,79,80,81,82,83,84,85,86,87,88,89,90,91,93,95,97,99},{"4.0","3.9","3.8","3.7","3.6","3.5","3.4","3.3","3.2","3.1","3.0","2.9","2.8","2.7","2.6","2.5","2.4","2.3","2.2","2.1","2.0","1.9","1.8","1.7","1.6","1.5","1.4","1.3","1.2","1.1","1.0"})</f>
        <v>4.0</v>
      </c>
      <c r="AG78" s="226">
        <f t="shared" si="9"/>
        <v>1</v>
      </c>
      <c r="AH78" s="34">
        <f t="shared" si="16"/>
        <v>4</v>
      </c>
      <c r="AI78" s="177">
        <f t="shared" si="11"/>
        <v>2</v>
      </c>
      <c r="AJ78" s="5">
        <f>PRELIM!AH78</f>
        <v>4</v>
      </c>
      <c r="AK78" s="179">
        <f t="shared" si="12"/>
        <v>2</v>
      </c>
      <c r="AL78" s="23">
        <f t="shared" si="17"/>
        <v>4</v>
      </c>
    </row>
    <row r="79" spans="1:38" x14ac:dyDescent="0.2">
      <c r="A79" s="42"/>
      <c r="B79" s="43"/>
      <c r="C79" s="43"/>
      <c r="D79" s="43"/>
      <c r="E79" s="43"/>
      <c r="F79" s="78"/>
      <c r="G79" s="78"/>
      <c r="H79" s="78"/>
      <c r="I79" s="78"/>
      <c r="J79" s="78"/>
      <c r="K79" s="78"/>
      <c r="L79" s="100"/>
      <c r="M79" s="93"/>
      <c r="N79" s="86"/>
      <c r="O79" s="107"/>
      <c r="P79" s="78"/>
      <c r="Q79" s="78"/>
      <c r="R79" s="78"/>
      <c r="S79" s="78"/>
      <c r="T79" s="78"/>
      <c r="U79" s="78"/>
      <c r="V79" s="100"/>
      <c r="W79" s="93"/>
      <c r="X79" s="86"/>
      <c r="Y79" s="107"/>
      <c r="Z79" s="26"/>
      <c r="AA79" s="26"/>
      <c r="AB79" s="26"/>
      <c r="AC79" s="26"/>
      <c r="AD79" s="26"/>
      <c r="AE79" s="26"/>
      <c r="AF79" s="26"/>
      <c r="AG79" s="26"/>
      <c r="AH79" s="26"/>
      <c r="AI79" s="27"/>
      <c r="AJ79" s="27"/>
      <c r="AK79" s="27"/>
      <c r="AL79" s="28"/>
    </row>
    <row r="80" spans="1:38" x14ac:dyDescent="0.2">
      <c r="A80" s="13"/>
      <c r="B80" s="7"/>
      <c r="C80" s="7"/>
      <c r="D80" s="7"/>
      <c r="E80" s="7"/>
      <c r="F80" s="79"/>
      <c r="G80" s="79"/>
      <c r="H80" s="79"/>
      <c r="I80" s="79"/>
      <c r="J80" s="79"/>
      <c r="K80" s="79"/>
      <c r="L80" s="101"/>
      <c r="M80" s="94"/>
      <c r="N80" s="87"/>
      <c r="O80" s="108"/>
      <c r="P80" s="79"/>
      <c r="Q80" s="79"/>
      <c r="R80" s="79"/>
      <c r="S80" s="79"/>
      <c r="T80" s="79"/>
      <c r="U80" s="79"/>
      <c r="V80" s="101"/>
      <c r="W80" s="94"/>
      <c r="X80" s="87"/>
      <c r="Y80" s="108"/>
      <c r="Z80" s="7"/>
      <c r="AA80" s="7"/>
      <c r="AB80" s="7"/>
      <c r="AC80" s="7"/>
      <c r="AD80" s="7"/>
      <c r="AE80" s="7"/>
      <c r="AF80" s="7"/>
      <c r="AG80" s="7"/>
      <c r="AH80" s="7"/>
      <c r="AL80" s="12"/>
    </row>
    <row r="81" spans="1:38" x14ac:dyDescent="0.2">
      <c r="A81" s="13"/>
      <c r="B81" s="7" t="s">
        <v>16</v>
      </c>
      <c r="C81" s="7"/>
      <c r="D81" s="18"/>
      <c r="F81" s="79"/>
      <c r="G81" s="79"/>
      <c r="H81" s="79"/>
      <c r="I81" s="79"/>
      <c r="J81" s="79"/>
      <c r="K81" s="7" t="s">
        <v>43</v>
      </c>
      <c r="L81" s="101"/>
      <c r="M81" s="94"/>
      <c r="N81" s="87"/>
      <c r="P81" s="79"/>
      <c r="Q81" s="79"/>
      <c r="R81" s="79"/>
      <c r="S81" s="79"/>
      <c r="T81" s="79"/>
      <c r="U81" s="79"/>
      <c r="V81" s="101"/>
      <c r="W81" s="94"/>
      <c r="X81" s="87"/>
      <c r="Y81" s="108"/>
      <c r="Z81" s="7"/>
      <c r="AA81" s="7"/>
      <c r="AB81" s="7"/>
      <c r="AC81" s="45"/>
      <c r="AD81" s="7"/>
      <c r="AE81" s="7" t="s">
        <v>44</v>
      </c>
      <c r="AF81" s="18"/>
      <c r="AG81" s="7"/>
      <c r="AH81" s="7"/>
      <c r="AL81" s="12"/>
    </row>
    <row r="82" spans="1:38" x14ac:dyDescent="0.2">
      <c r="A82" s="13"/>
      <c r="B82" s="7"/>
      <c r="C82" s="7"/>
      <c r="D82" s="7"/>
      <c r="F82" s="79"/>
      <c r="G82" s="79"/>
      <c r="H82" s="79"/>
      <c r="I82" s="79"/>
      <c r="J82" s="79"/>
      <c r="K82" s="7"/>
      <c r="L82" s="101"/>
      <c r="M82" s="94"/>
      <c r="N82" s="87"/>
      <c r="P82" s="79"/>
      <c r="Q82" s="79"/>
      <c r="R82" s="79"/>
      <c r="S82" s="79"/>
      <c r="T82" s="79"/>
      <c r="U82" s="79"/>
      <c r="V82" s="101"/>
      <c r="W82" s="94"/>
      <c r="X82" s="87"/>
      <c r="Y82" s="108"/>
      <c r="Z82" s="7"/>
      <c r="AA82" s="7"/>
      <c r="AB82" s="7"/>
      <c r="AC82" s="38"/>
      <c r="AD82" s="7"/>
      <c r="AE82" s="7"/>
      <c r="AF82" s="7"/>
      <c r="AG82" s="7"/>
      <c r="AH82" s="7"/>
      <c r="AL82" s="12"/>
    </row>
    <row r="83" spans="1:38" x14ac:dyDescent="0.2">
      <c r="A83" s="13"/>
      <c r="B83" s="40" t="str">
        <f>'Class List'!J8</f>
        <v>MARL VINCENT L. LABITAD, MPA</v>
      </c>
      <c r="C83" s="7"/>
      <c r="D83" s="7"/>
      <c r="F83" s="80"/>
      <c r="G83" s="80"/>
      <c r="H83" s="80"/>
      <c r="I83" s="80"/>
      <c r="J83" s="80"/>
      <c r="K83" s="45" t="s">
        <v>142</v>
      </c>
      <c r="L83" s="102"/>
      <c r="M83" s="95"/>
      <c r="N83" s="88"/>
      <c r="P83" s="80"/>
      <c r="Q83" s="80"/>
      <c r="R83" s="80"/>
      <c r="S83" s="80"/>
      <c r="T83" s="80"/>
      <c r="U83" s="80"/>
      <c r="V83" s="102"/>
      <c r="W83" s="95"/>
      <c r="X83" s="88"/>
      <c r="Y83" s="109"/>
      <c r="Z83" s="45"/>
      <c r="AA83" s="7"/>
      <c r="AB83" s="7"/>
      <c r="AC83" s="7"/>
      <c r="AD83" s="18"/>
      <c r="AE83" s="18" t="s">
        <v>45</v>
      </c>
      <c r="AF83" s="7"/>
      <c r="AG83" s="7"/>
      <c r="AH83" s="7"/>
      <c r="AL83" s="12"/>
    </row>
    <row r="84" spans="1:38" x14ac:dyDescent="0.2">
      <c r="A84" s="13"/>
      <c r="B84" s="38" t="s">
        <v>17</v>
      </c>
      <c r="C84" s="7"/>
      <c r="D84" s="38"/>
      <c r="F84" s="81"/>
      <c r="G84" s="81"/>
      <c r="H84" s="81"/>
      <c r="I84" s="81"/>
      <c r="J84" s="81"/>
      <c r="K84" s="38" t="s">
        <v>143</v>
      </c>
      <c r="L84" s="102"/>
      <c r="M84" s="95"/>
      <c r="N84" s="88"/>
      <c r="P84" s="81"/>
      <c r="Q84" s="81"/>
      <c r="R84" s="81"/>
      <c r="S84" s="81"/>
      <c r="T84" s="81"/>
      <c r="U84" s="81"/>
      <c r="V84" s="102"/>
      <c r="W84" s="95"/>
      <c r="X84" s="88"/>
      <c r="Y84" s="109"/>
      <c r="Z84" s="38"/>
      <c r="AA84" s="7"/>
      <c r="AB84" s="7"/>
      <c r="AC84" s="7"/>
      <c r="AD84" s="7"/>
      <c r="AE84" s="38" t="s">
        <v>46</v>
      </c>
      <c r="AF84" s="7"/>
      <c r="AG84" s="7"/>
      <c r="AH84" s="7"/>
      <c r="AL84" s="12"/>
    </row>
    <row r="85" spans="1:38" ht="17" thickBot="1" x14ac:dyDescent="0.25">
      <c r="A85" s="14"/>
      <c r="B85" s="15"/>
      <c r="C85" s="15"/>
      <c r="D85" s="15"/>
      <c r="E85" s="15"/>
      <c r="F85" s="82"/>
      <c r="G85" s="82"/>
      <c r="H85" s="82"/>
      <c r="I85" s="82"/>
      <c r="J85" s="82"/>
      <c r="K85" s="82"/>
      <c r="L85" s="103"/>
      <c r="M85" s="96"/>
      <c r="N85" s="89"/>
      <c r="O85" s="110"/>
      <c r="P85" s="82"/>
      <c r="Q85" s="82"/>
      <c r="R85" s="82"/>
      <c r="S85" s="82"/>
      <c r="T85" s="82"/>
      <c r="U85" s="82"/>
      <c r="V85" s="103"/>
      <c r="W85" s="96"/>
      <c r="X85" s="89"/>
      <c r="Y85" s="110"/>
      <c r="Z85" s="15"/>
      <c r="AA85" s="15"/>
      <c r="AB85" s="15"/>
      <c r="AC85" s="15"/>
      <c r="AD85" s="15"/>
      <c r="AE85" s="15"/>
      <c r="AF85" s="15"/>
      <c r="AG85" s="15"/>
      <c r="AH85" s="15"/>
      <c r="AI85" s="29"/>
      <c r="AJ85" s="29"/>
      <c r="AK85" s="29"/>
      <c r="AL85" s="30"/>
    </row>
    <row r="86" spans="1:38" x14ac:dyDescent="0.2">
      <c r="AD86" s="7"/>
      <c r="AE86" s="7"/>
      <c r="AF86" s="7"/>
      <c r="AG86" s="7"/>
    </row>
    <row r="87" spans="1:38" x14ac:dyDescent="0.2">
      <c r="AD87" s="7"/>
      <c r="AE87" s="7"/>
      <c r="AF87" s="7"/>
      <c r="AG87" s="7"/>
    </row>
  </sheetData>
  <sheetProtection algorithmName="SHA-512" hashValue="84o4z+3AK7DkzCesrHAI5d25omcqMwFHmzg/YR63/5Fp/h04ELYKi0+305He8OT21ATC4dmyHX9mq90NP+NGbg==" saltValue="6HF+QD1rLXjUBKnJoPoQnA==" spinCount="100000" sheet="1" formatCells="0" formatColumns="0" formatRows="0" sort="0" autoFilter="0" pivotTables="0"/>
  <mergeCells count="23">
    <mergeCell ref="A12:AL12"/>
    <mergeCell ref="A8:D8"/>
    <mergeCell ref="A9:D9"/>
    <mergeCell ref="A10:D10"/>
    <mergeCell ref="E8:AL8"/>
    <mergeCell ref="E9:AL9"/>
    <mergeCell ref="E10:AL10"/>
    <mergeCell ref="A14:E16"/>
    <mergeCell ref="F14:O15"/>
    <mergeCell ref="P14:Y15"/>
    <mergeCell ref="Z14:AC15"/>
    <mergeCell ref="AD14:AG15"/>
    <mergeCell ref="A2:AL2"/>
    <mergeCell ref="A3:AL3"/>
    <mergeCell ref="A4:AL4"/>
    <mergeCell ref="A5:AL5"/>
    <mergeCell ref="E7:AL7"/>
    <mergeCell ref="A7:D7"/>
    <mergeCell ref="AH14:AH16"/>
    <mergeCell ref="AI14:AI16"/>
    <mergeCell ref="AJ14:AJ16"/>
    <mergeCell ref="AK14:AK16"/>
    <mergeCell ref="AL14:AL16"/>
  </mergeCells>
  <phoneticPr fontId="25" type="noConversion"/>
  <conditionalFormatting sqref="AH17:AH78">
    <cfRule type="cellIs" dxfId="6" priority="1" operator="greaterThan">
      <formula>3.1</formula>
    </cfRule>
  </conditionalFormatting>
  <conditionalFormatting sqref="AL17:AL78">
    <cfRule type="cellIs" dxfId="5" priority="2" operator="greaterThan">
      <formula>3.1</formula>
    </cfRule>
  </conditionalFormatting>
  <printOptions horizontalCentered="1"/>
  <pageMargins left="0.25" right="0.25" top="0.5" bottom="0.25" header="0.25" footer="0.25"/>
  <pageSetup paperSize="14" scale="84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95C6-F5E8-FA44-AF3B-09F7D538C21D}">
  <sheetPr>
    <tabColor rgb="FFE3D3FC"/>
  </sheetPr>
  <dimension ref="A1:AM87"/>
  <sheetViews>
    <sheetView topLeftCell="A55" zoomScaleNormal="100" workbookViewId="0">
      <selection activeCell="K83" sqref="K83:K84"/>
    </sheetView>
  </sheetViews>
  <sheetFormatPr baseColWidth="10" defaultRowHeight="16" x14ac:dyDescent="0.2"/>
  <cols>
    <col min="1" max="1" width="2.83203125" bestFit="1" customWidth="1"/>
    <col min="2" max="2" width="17.5" customWidth="1"/>
    <col min="3" max="3" width="2" bestFit="1" customWidth="1"/>
    <col min="4" max="4" width="18.83203125" customWidth="1"/>
    <col min="5" max="5" width="4" bestFit="1" customWidth="1"/>
    <col min="6" max="6" width="3.6640625" style="19" bestFit="1" customWidth="1"/>
    <col min="7" max="11" width="3" style="19" bestFit="1" customWidth="1"/>
    <col min="12" max="12" width="4" style="99" customWidth="1"/>
    <col min="13" max="13" width="4.1640625" style="92" bestFit="1" customWidth="1"/>
    <col min="14" max="14" width="3" style="85" bestFit="1" customWidth="1"/>
    <col min="15" max="15" width="4" style="106" bestFit="1" customWidth="1"/>
    <col min="16" max="20" width="4" style="19" customWidth="1"/>
    <col min="21" max="21" width="4" style="99" customWidth="1"/>
    <col min="22" max="22" width="4" style="92" customWidth="1"/>
    <col min="23" max="23" width="4" style="85" customWidth="1"/>
    <col min="24" max="24" width="4" style="106" customWidth="1"/>
    <col min="25" max="25" width="3.6640625" bestFit="1" customWidth="1"/>
    <col min="26" max="26" width="4.1640625" bestFit="1" customWidth="1"/>
    <col min="27" max="27" width="3.6640625" customWidth="1"/>
    <col min="28" max="28" width="4.83203125" bestFit="1" customWidth="1"/>
    <col min="29" max="29" width="3.6640625" bestFit="1" customWidth="1"/>
    <col min="30" max="32" width="3.6640625" customWidth="1"/>
    <col min="33" max="33" width="9.5" bestFit="1" customWidth="1"/>
    <col min="34" max="34" width="4" bestFit="1" customWidth="1"/>
    <col min="35" max="35" width="7.33203125" customWidth="1"/>
    <col min="36" max="36" width="4" bestFit="1" customWidth="1"/>
    <col min="37" max="37" width="8" customWidth="1"/>
  </cols>
  <sheetData>
    <row r="1" spans="1:39" ht="7" customHeight="1" thickBot="1" x14ac:dyDescent="0.25">
      <c r="A1" s="1"/>
      <c r="B1" s="1"/>
      <c r="C1" s="1"/>
      <c r="D1" s="1"/>
      <c r="E1" s="1"/>
      <c r="F1" s="10"/>
      <c r="G1" s="10"/>
      <c r="H1" s="10"/>
      <c r="I1" s="10"/>
      <c r="J1" s="10"/>
      <c r="K1" s="10"/>
      <c r="L1" s="97"/>
      <c r="M1" s="90"/>
      <c r="N1" s="83"/>
      <c r="O1" s="104"/>
      <c r="P1" s="10"/>
      <c r="Q1" s="10"/>
      <c r="R1" s="10"/>
      <c r="S1" s="10"/>
      <c r="T1" s="10"/>
      <c r="U1" s="97"/>
      <c r="V1" s="90"/>
      <c r="W1" s="83"/>
      <c r="X1" s="104"/>
      <c r="Y1" s="1"/>
      <c r="Z1" s="1"/>
      <c r="AA1" s="1"/>
      <c r="AB1" s="1"/>
      <c r="AC1" s="1"/>
      <c r="AD1" s="1"/>
      <c r="AE1" s="1"/>
      <c r="AF1" s="1"/>
      <c r="AG1" s="1"/>
    </row>
    <row r="2" spans="1:39" ht="30" x14ac:dyDescent="0.2">
      <c r="A2" s="284" t="s">
        <v>0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6"/>
    </row>
    <row r="3" spans="1:39" ht="18" x14ac:dyDescent="0.2">
      <c r="A3" s="287" t="s">
        <v>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9"/>
    </row>
    <row r="4" spans="1:39" ht="17" thickBot="1" x14ac:dyDescent="0.25">
      <c r="A4" s="302" t="str">
        <f>'Class List'!J6</f>
        <v>First Semester, A.Y. 2026 - 2027</v>
      </c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3"/>
      <c r="AK4" s="303"/>
      <c r="AL4" s="303"/>
      <c r="AM4" s="304"/>
    </row>
    <row r="5" spans="1:39" ht="49" thickBot="1" x14ac:dyDescent="0.25">
      <c r="A5" s="293" t="str">
        <f>'Class List'!J7</f>
        <v>Department of Business Management &amp; Entrepreneurship</v>
      </c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5"/>
    </row>
    <row r="6" spans="1:39" ht="5" customHeight="1" thickBot="1" x14ac:dyDescent="0.25">
      <c r="A6" s="8"/>
      <c r="B6" s="2"/>
      <c r="C6" s="2"/>
      <c r="D6" s="2"/>
      <c r="E6" s="2"/>
      <c r="F6" s="77"/>
      <c r="G6" s="77"/>
      <c r="H6" s="77"/>
      <c r="I6" s="77"/>
      <c r="J6" s="77"/>
      <c r="K6" s="77"/>
      <c r="L6" s="98"/>
      <c r="M6" s="91"/>
      <c r="N6" s="84"/>
      <c r="O6" s="105"/>
      <c r="P6" s="77"/>
      <c r="Q6" s="77"/>
      <c r="R6" s="77"/>
      <c r="S6" s="77"/>
      <c r="T6" s="77"/>
      <c r="U6" s="98"/>
      <c r="V6" s="91"/>
      <c r="W6" s="84"/>
      <c r="X6" s="105"/>
      <c r="Y6" s="3"/>
      <c r="Z6" s="3"/>
      <c r="AA6" s="3"/>
      <c r="AB6" s="3"/>
      <c r="AC6" s="3"/>
      <c r="AD6" s="3"/>
      <c r="AE6" s="3"/>
      <c r="AF6" s="3"/>
      <c r="AG6" s="3"/>
      <c r="AL6" s="123"/>
      <c r="AM6" s="12"/>
    </row>
    <row r="7" spans="1:39" ht="19" thickBot="1" x14ac:dyDescent="0.25">
      <c r="A7" s="278" t="s">
        <v>14</v>
      </c>
      <c r="B7" s="279"/>
      <c r="C7" s="279"/>
      <c r="D7" s="280"/>
      <c r="E7" s="281" t="str">
        <f>'Class List'!J8</f>
        <v>MARL VINCENT L. LABITAD, MPA</v>
      </c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3"/>
    </row>
    <row r="8" spans="1:39" ht="16" customHeight="1" thickBot="1" x14ac:dyDescent="0.25">
      <c r="A8" s="278" t="s">
        <v>79</v>
      </c>
      <c r="B8" s="279"/>
      <c r="C8" s="279"/>
      <c r="D8" s="280"/>
      <c r="E8" s="305" t="str">
        <f>'Class List'!J9</f>
        <v>ABM 1</v>
      </c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  <c r="AK8" s="306"/>
      <c r="AL8" s="306"/>
      <c r="AM8" s="307"/>
    </row>
    <row r="9" spans="1:39" ht="16" customHeight="1" thickBot="1" x14ac:dyDescent="0.25">
      <c r="A9" s="278" t="s">
        <v>85</v>
      </c>
      <c r="B9" s="279"/>
      <c r="C9" s="279"/>
      <c r="D9" s="280"/>
      <c r="E9" s="305" t="str">
        <f>'Class List'!J10</f>
        <v>ORGANZIATION AND MANAGEMENT</v>
      </c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7"/>
    </row>
    <row r="10" spans="1:39" ht="17" thickBot="1" x14ac:dyDescent="0.25">
      <c r="A10" s="278" t="s">
        <v>40</v>
      </c>
      <c r="B10" s="279"/>
      <c r="C10" s="279"/>
      <c r="D10" s="280"/>
      <c r="E10" s="305" t="str">
        <f>'Class List'!J11</f>
        <v>MONDAY (9:00-10:30 AM) &amp; WED (7:30-9:00 AM)</v>
      </c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6"/>
      <c r="AM10" s="307"/>
    </row>
    <row r="11" spans="1:39" ht="7" customHeight="1" thickBot="1" x14ac:dyDescent="0.25">
      <c r="A11" s="35"/>
      <c r="Y11" s="10"/>
      <c r="Z11" s="10"/>
      <c r="AA11" s="10"/>
      <c r="AB11" s="10"/>
      <c r="AC11" s="1"/>
      <c r="AD11" s="1"/>
      <c r="AE11" s="1"/>
      <c r="AF11" s="1"/>
      <c r="AG11" s="1"/>
      <c r="AL11" s="123"/>
      <c r="AM11" s="12"/>
    </row>
    <row r="12" spans="1:39" ht="36" thickBot="1" x14ac:dyDescent="0.25">
      <c r="A12" s="253" t="s">
        <v>37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5"/>
    </row>
    <row r="13" spans="1:39" ht="5" customHeight="1" thickBot="1" x14ac:dyDescent="0.25">
      <c r="A13" s="37"/>
      <c r="B13" s="1"/>
      <c r="C13" s="1"/>
      <c r="D13" s="1"/>
      <c r="E13" s="1"/>
      <c r="F13" s="10"/>
      <c r="G13" s="10"/>
      <c r="H13" s="10"/>
      <c r="I13" s="10"/>
      <c r="J13" s="10"/>
      <c r="K13" s="10"/>
      <c r="L13" s="97"/>
      <c r="M13" s="90"/>
      <c r="N13" s="83"/>
      <c r="O13" s="104"/>
      <c r="P13" s="10"/>
      <c r="Q13" s="10"/>
      <c r="R13" s="10"/>
      <c r="S13" s="10"/>
      <c r="T13" s="10"/>
      <c r="U13" s="97"/>
      <c r="V13" s="90"/>
      <c r="W13" s="83"/>
      <c r="X13" s="104"/>
      <c r="Y13" s="10"/>
      <c r="Z13" s="10"/>
      <c r="AA13" s="10"/>
      <c r="AB13" s="10"/>
      <c r="AC13" s="1"/>
      <c r="AD13" s="1"/>
      <c r="AE13" s="1"/>
      <c r="AF13" s="1"/>
      <c r="AG13" s="31"/>
      <c r="AK13" s="12"/>
      <c r="AM13" s="12"/>
    </row>
    <row r="14" spans="1:39" ht="33" customHeight="1" x14ac:dyDescent="0.2">
      <c r="A14" s="256" t="s">
        <v>2</v>
      </c>
      <c r="B14" s="257"/>
      <c r="C14" s="257"/>
      <c r="D14" s="257"/>
      <c r="E14" s="258"/>
      <c r="F14" s="271" t="s">
        <v>50</v>
      </c>
      <c r="G14" s="272"/>
      <c r="H14" s="272"/>
      <c r="I14" s="272"/>
      <c r="J14" s="272"/>
      <c r="K14" s="273"/>
      <c r="L14" s="273"/>
      <c r="M14" s="273"/>
      <c r="N14" s="273"/>
      <c r="O14" s="274"/>
      <c r="P14" s="271" t="s">
        <v>64</v>
      </c>
      <c r="Q14" s="272"/>
      <c r="R14" s="272"/>
      <c r="S14" s="272"/>
      <c r="T14" s="273"/>
      <c r="U14" s="273"/>
      <c r="V14" s="273"/>
      <c r="W14" s="273"/>
      <c r="X14" s="274"/>
      <c r="Y14" s="262" t="s">
        <v>65</v>
      </c>
      <c r="Z14" s="263"/>
      <c r="AA14" s="263"/>
      <c r="AB14" s="263"/>
      <c r="AC14" s="266" t="s">
        <v>51</v>
      </c>
      <c r="AD14" s="262"/>
      <c r="AE14" s="262"/>
      <c r="AF14" s="262"/>
      <c r="AG14" s="268" t="s">
        <v>38</v>
      </c>
      <c r="AH14" s="296" t="s">
        <v>125</v>
      </c>
      <c r="AI14" s="299" t="s">
        <v>3</v>
      </c>
      <c r="AJ14" s="296" t="s">
        <v>126</v>
      </c>
      <c r="AK14" s="299" t="s">
        <v>39</v>
      </c>
      <c r="AL14" s="299" t="s">
        <v>13</v>
      </c>
      <c r="AM14" s="308" t="s">
        <v>10</v>
      </c>
    </row>
    <row r="15" spans="1:39" ht="17" thickBot="1" x14ac:dyDescent="0.25">
      <c r="A15" s="259"/>
      <c r="B15" s="260"/>
      <c r="C15" s="260"/>
      <c r="D15" s="260"/>
      <c r="E15" s="261"/>
      <c r="F15" s="275"/>
      <c r="G15" s="276"/>
      <c r="H15" s="276"/>
      <c r="I15" s="276"/>
      <c r="J15" s="276"/>
      <c r="K15" s="276"/>
      <c r="L15" s="276"/>
      <c r="M15" s="276"/>
      <c r="N15" s="276"/>
      <c r="O15" s="277"/>
      <c r="P15" s="275"/>
      <c r="Q15" s="276"/>
      <c r="R15" s="276"/>
      <c r="S15" s="276"/>
      <c r="T15" s="276"/>
      <c r="U15" s="276"/>
      <c r="V15" s="276"/>
      <c r="W15" s="276"/>
      <c r="X15" s="277"/>
      <c r="Y15" s="264"/>
      <c r="Z15" s="265"/>
      <c r="AA15" s="265"/>
      <c r="AB15" s="265"/>
      <c r="AC15" s="267"/>
      <c r="AD15" s="264"/>
      <c r="AE15" s="264"/>
      <c r="AF15" s="264"/>
      <c r="AG15" s="269"/>
      <c r="AH15" s="297"/>
      <c r="AI15" s="300"/>
      <c r="AJ15" s="297"/>
      <c r="AK15" s="300"/>
      <c r="AL15" s="300"/>
      <c r="AM15" s="309"/>
    </row>
    <row r="16" spans="1:39" ht="17" thickBot="1" x14ac:dyDescent="0.25">
      <c r="A16" s="259"/>
      <c r="B16" s="260"/>
      <c r="C16" s="260"/>
      <c r="D16" s="260"/>
      <c r="E16" s="261"/>
      <c r="F16" s="183" t="s">
        <v>52</v>
      </c>
      <c r="G16" s="184" t="s">
        <v>53</v>
      </c>
      <c r="H16" s="184" t="s">
        <v>54</v>
      </c>
      <c r="I16" s="184" t="s">
        <v>55</v>
      </c>
      <c r="J16" s="184" t="s">
        <v>56</v>
      </c>
      <c r="K16" s="185" t="s">
        <v>57</v>
      </c>
      <c r="L16" s="186" t="s">
        <v>48</v>
      </c>
      <c r="M16" s="187" t="s">
        <v>4</v>
      </c>
      <c r="N16" s="188" t="s">
        <v>5</v>
      </c>
      <c r="O16" s="189">
        <v>0.15</v>
      </c>
      <c r="P16" s="183" t="s">
        <v>58</v>
      </c>
      <c r="Q16" s="184" t="s">
        <v>59</v>
      </c>
      <c r="R16" s="184" t="s">
        <v>60</v>
      </c>
      <c r="S16" s="184" t="s">
        <v>61</v>
      </c>
      <c r="T16" s="185" t="s">
        <v>62</v>
      </c>
      <c r="U16" s="186" t="s">
        <v>48</v>
      </c>
      <c r="V16" s="187" t="s">
        <v>4</v>
      </c>
      <c r="W16" s="188" t="s">
        <v>5</v>
      </c>
      <c r="X16" s="189">
        <v>0.35</v>
      </c>
      <c r="Y16" s="183" t="s">
        <v>63</v>
      </c>
      <c r="Z16" s="190" t="s">
        <v>4</v>
      </c>
      <c r="AA16" s="191" t="s">
        <v>5</v>
      </c>
      <c r="AB16" s="232">
        <v>0.25</v>
      </c>
      <c r="AC16" s="193" t="s">
        <v>49</v>
      </c>
      <c r="AD16" s="194" t="s">
        <v>4</v>
      </c>
      <c r="AE16" s="195" t="s">
        <v>5</v>
      </c>
      <c r="AF16" s="196">
        <v>0.25</v>
      </c>
      <c r="AG16" s="270"/>
      <c r="AH16" s="298"/>
      <c r="AI16" s="301"/>
      <c r="AJ16" s="298"/>
      <c r="AK16" s="301"/>
      <c r="AL16" s="301"/>
      <c r="AM16" s="309"/>
    </row>
    <row r="17" spans="1:39" ht="17" thickBot="1" x14ac:dyDescent="0.25">
      <c r="A17" s="53" t="s">
        <v>6</v>
      </c>
      <c r="B17" s="54" t="s">
        <v>7</v>
      </c>
      <c r="C17" s="55" t="s">
        <v>8</v>
      </c>
      <c r="D17" s="56" t="s">
        <v>9</v>
      </c>
      <c r="E17" s="57" t="s">
        <v>15</v>
      </c>
      <c r="F17" s="197">
        <v>100</v>
      </c>
      <c r="G17" s="198"/>
      <c r="H17" s="198"/>
      <c r="I17" s="198"/>
      <c r="J17" s="198"/>
      <c r="K17" s="199"/>
      <c r="L17" s="200">
        <f>SUM(F17:K17)</f>
        <v>100</v>
      </c>
      <c r="M17" s="201">
        <f>(L17/$L$17)*100</f>
        <v>100</v>
      </c>
      <c r="N17" s="202" t="str">
        <f>LOOKUP(M17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1.0</v>
      </c>
      <c r="O17" s="203">
        <f>N17*$O$16</f>
        <v>0.15</v>
      </c>
      <c r="P17" s="197">
        <v>20</v>
      </c>
      <c r="Q17" s="198"/>
      <c r="R17" s="198"/>
      <c r="S17" s="198"/>
      <c r="T17" s="199"/>
      <c r="U17" s="200">
        <f>SUM(P17:T17)</f>
        <v>20</v>
      </c>
      <c r="V17" s="201">
        <f>(U17/$U$17)*100</f>
        <v>100</v>
      </c>
      <c r="W17" s="202" t="str">
        <f>LOOKUP(V17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1.0</v>
      </c>
      <c r="X17" s="203">
        <f>W17*$X$16</f>
        <v>0.35</v>
      </c>
      <c r="Y17" s="204">
        <v>100</v>
      </c>
      <c r="Z17" s="205">
        <f>(Y17/$Y$17)*100</f>
        <v>100</v>
      </c>
      <c r="AA17" s="206" t="str">
        <f>LOOKUP(Z17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1.0</v>
      </c>
      <c r="AB17" s="189">
        <f>AA17*$AB$16</f>
        <v>0.25</v>
      </c>
      <c r="AC17" s="197">
        <v>100</v>
      </c>
      <c r="AD17" s="207">
        <f>(AC17/$AC$17)*100</f>
        <v>100</v>
      </c>
      <c r="AE17" s="195" t="str">
        <f>LOOKUP(AD17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1.0</v>
      </c>
      <c r="AF17" s="208">
        <f>AE17*$AF$16</f>
        <v>0.25</v>
      </c>
      <c r="AG17" s="32">
        <f>AF17+AB17+X17+O17</f>
        <v>1</v>
      </c>
      <c r="AH17" s="24">
        <f>(AG17*4)/5</f>
        <v>0.8</v>
      </c>
      <c r="AI17" s="4">
        <f>MIDTERM!AL17</f>
        <v>1</v>
      </c>
      <c r="AJ17" s="25">
        <f>(AI17)/5</f>
        <v>0.2</v>
      </c>
      <c r="AK17" s="6">
        <f>SUM(AJ17+AH17)</f>
        <v>1</v>
      </c>
      <c r="AL17" s="115">
        <f>IF(AK17&gt;3,5,IF(AK17&gt;3,3,IF(AK17&gt;=1,AK17)))</f>
        <v>1</v>
      </c>
      <c r="AM17" s="116" t="str">
        <f>IF(AL17&gt;3.5,"FAILED",IF(AL17&gt;3,3,IF(AL17&gt;=1,"PASSED",IF(AL17="","NO CREDIT"))))</f>
        <v>PASSED</v>
      </c>
    </row>
    <row r="18" spans="1:39" ht="17" thickBot="1" x14ac:dyDescent="0.25">
      <c r="A18" s="53"/>
      <c r="B18" s="58"/>
      <c r="C18" s="55"/>
      <c r="D18" s="56"/>
      <c r="E18" s="59"/>
      <c r="F18" s="197"/>
      <c r="G18" s="198"/>
      <c r="H18" s="198"/>
      <c r="I18" s="198"/>
      <c r="J18" s="198"/>
      <c r="K18" s="199"/>
      <c r="L18" s="200"/>
      <c r="M18" s="201"/>
      <c r="N18" s="202"/>
      <c r="O18" s="203"/>
      <c r="P18" s="197"/>
      <c r="Q18" s="198"/>
      <c r="R18" s="198"/>
      <c r="S18" s="198"/>
      <c r="T18" s="199"/>
      <c r="U18" s="200"/>
      <c r="V18" s="201"/>
      <c r="W18" s="202"/>
      <c r="X18" s="203"/>
      <c r="Y18" s="209"/>
      <c r="Z18" s="205"/>
      <c r="AA18" s="206"/>
      <c r="AB18" s="233"/>
      <c r="AC18" s="197"/>
      <c r="AD18" s="207"/>
      <c r="AE18" s="195"/>
      <c r="AF18" s="208"/>
      <c r="AG18" s="32"/>
      <c r="AH18" s="24"/>
      <c r="AI18" s="4"/>
      <c r="AJ18" s="25"/>
      <c r="AK18" s="6"/>
      <c r="AL18" s="115"/>
      <c r="AM18" s="116"/>
    </row>
    <row r="19" spans="1:39" x14ac:dyDescent="0.2">
      <c r="A19" s="60">
        <f>'Class List'!A3</f>
        <v>1</v>
      </c>
      <c r="B19" s="68" t="str">
        <f>'Class List'!B3</f>
        <v>BACALSO</v>
      </c>
      <c r="C19" s="69" t="str">
        <f>'Class List'!C3</f>
        <v>,</v>
      </c>
      <c r="D19" s="69" t="str">
        <f>'Class List'!D3</f>
        <v>HELEN</v>
      </c>
      <c r="E19" s="70" t="str">
        <f>'Class List'!E3</f>
        <v>S.</v>
      </c>
      <c r="F19" s="210"/>
      <c r="G19" s="211"/>
      <c r="H19" s="211"/>
      <c r="I19" s="211"/>
      <c r="J19" s="211"/>
      <c r="K19" s="212"/>
      <c r="L19" s="234">
        <f t="shared" ref="L19:L78" si="0">SUM(F19:K19)</f>
        <v>0</v>
      </c>
      <c r="M19" s="235">
        <f t="shared" ref="M19:M78" si="1">(L19/$L$17)*100</f>
        <v>0</v>
      </c>
      <c r="N19" s="202" t="str">
        <f>LOOKUP(M19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19" s="236">
        <f t="shared" ref="O19:O78" si="2">N19*$O$16</f>
        <v>0.75</v>
      </c>
      <c r="P19" s="210"/>
      <c r="Q19" s="211"/>
      <c r="R19" s="211"/>
      <c r="S19" s="211"/>
      <c r="T19" s="212"/>
      <c r="U19" s="234">
        <f t="shared" ref="U19:U78" si="3">SUM(P19:T19)</f>
        <v>0</v>
      </c>
      <c r="V19" s="235">
        <f t="shared" ref="V19:V78" si="4">(U19/$U$17)*100</f>
        <v>0</v>
      </c>
      <c r="W19" s="202" t="str">
        <f>LOOKUP(V19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19" s="236">
        <f t="shared" ref="X19:X78" si="5">W19*$X$16</f>
        <v>1.75</v>
      </c>
      <c r="Y19" s="237"/>
      <c r="Z19" s="238">
        <f t="shared" ref="Z19:Z78" si="6">(Y19/$Y$17)*100</f>
        <v>0</v>
      </c>
      <c r="AA19" s="206" t="str">
        <f>LOOKUP(Z19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19" s="239">
        <f t="shared" ref="AB19:AB78" si="7">AA19*$AB$16</f>
        <v>1.25</v>
      </c>
      <c r="AC19" s="210"/>
      <c r="AD19" s="240">
        <f t="shared" ref="AD19:AD78" si="8">(AC19/$AC$17)*100</f>
        <v>0</v>
      </c>
      <c r="AE19" s="195" t="str">
        <f>LOOKUP(AD19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19" s="241">
        <f t="shared" ref="AF19:AF78" si="9">AE19*$AF$16</f>
        <v>1.25</v>
      </c>
      <c r="AG19" s="33">
        <f>AF19+AB19+X19+O19</f>
        <v>5</v>
      </c>
      <c r="AH19" s="178">
        <f t="shared" ref="AH19:AH78" si="10">(AG19*4)/5</f>
        <v>4</v>
      </c>
      <c r="AI19" s="112">
        <f>MIDTERM!AL19</f>
        <v>4</v>
      </c>
      <c r="AJ19" s="178">
        <f t="shared" ref="AJ19:AJ78" si="11">(AI19)/5</f>
        <v>0.8</v>
      </c>
      <c r="AK19" s="22">
        <f>SUM(AJ19+AH19)</f>
        <v>4.8</v>
      </c>
      <c r="AL19" s="117">
        <f>IF(AK19&gt;3,5,IF(AK19&gt;3,3,IF(AK19&gt;=1,AK19)))</f>
        <v>5</v>
      </c>
      <c r="AM19" s="118" t="str">
        <f>IF(AL19&gt;3.5,"FAILED",IF(AL19&gt;3,3,IF(AL19&gt;=1,"PASSED",IF(AL19="","NO CREDIT"))))</f>
        <v>FAILED</v>
      </c>
    </row>
    <row r="20" spans="1:39" x14ac:dyDescent="0.2">
      <c r="A20" s="61">
        <f>'Class List'!A4</f>
        <v>2</v>
      </c>
      <c r="B20" s="71">
        <f>'Class List'!B4</f>
        <v>0</v>
      </c>
      <c r="C20" s="72" t="str">
        <f>'Class List'!C4</f>
        <v>,</v>
      </c>
      <c r="D20" s="72">
        <f>'Class List'!D4</f>
        <v>0</v>
      </c>
      <c r="E20" s="73">
        <f>'Class List'!E4</f>
        <v>0</v>
      </c>
      <c r="F20" s="214"/>
      <c r="G20" s="215"/>
      <c r="H20" s="215"/>
      <c r="I20" s="215"/>
      <c r="J20" s="215"/>
      <c r="K20" s="216"/>
      <c r="L20" s="217">
        <f t="shared" si="0"/>
        <v>0</v>
      </c>
      <c r="M20" s="218">
        <f t="shared" si="1"/>
        <v>0</v>
      </c>
      <c r="N20" s="219" t="str">
        <f>LOOKUP(M20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0" s="220">
        <f t="shared" si="2"/>
        <v>0.75</v>
      </c>
      <c r="P20" s="214"/>
      <c r="Q20" s="215"/>
      <c r="R20" s="215"/>
      <c r="S20" s="215"/>
      <c r="T20" s="216"/>
      <c r="U20" s="217">
        <f t="shared" si="3"/>
        <v>0</v>
      </c>
      <c r="V20" s="218">
        <f t="shared" si="4"/>
        <v>0</v>
      </c>
      <c r="W20" s="219" t="str">
        <f>LOOKUP(V20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0" s="220">
        <f t="shared" si="5"/>
        <v>1.75</v>
      </c>
      <c r="Y20" s="221"/>
      <c r="Z20" s="222">
        <f t="shared" si="6"/>
        <v>0</v>
      </c>
      <c r="AA20" s="223" t="str">
        <f>LOOKUP(Z20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0" s="224">
        <f t="shared" si="7"/>
        <v>1.25</v>
      </c>
      <c r="AC20" s="214"/>
      <c r="AD20" s="225">
        <f t="shared" si="8"/>
        <v>0</v>
      </c>
      <c r="AE20" s="219" t="str">
        <f>LOOKUP(AD20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0" s="242">
        <f t="shared" si="9"/>
        <v>1.25</v>
      </c>
      <c r="AG20" s="34">
        <f t="shared" ref="AG20:AG78" si="12">AF20+AB20+X20+O20</f>
        <v>5</v>
      </c>
      <c r="AH20" s="177">
        <f t="shared" si="10"/>
        <v>4</v>
      </c>
      <c r="AI20" s="5">
        <f>MIDTERM!AL20</f>
        <v>4</v>
      </c>
      <c r="AJ20" s="179">
        <f t="shared" si="11"/>
        <v>0.8</v>
      </c>
      <c r="AK20" s="23">
        <f t="shared" ref="AK20:AK78" si="13">SUM(AJ20+AH20)</f>
        <v>4.8</v>
      </c>
      <c r="AL20" s="119">
        <f t="shared" ref="AL20:AL78" si="14">IF(AK20&gt;3,5,IF(AK20&gt;3,3,IF(AK20&gt;=1,AK20)))</f>
        <v>5</v>
      </c>
      <c r="AM20" s="120" t="str">
        <f t="shared" ref="AM20:AM78" si="15">IF(AL20&gt;3.5,"FAILED",IF(AL20&gt;3,3,IF(AL20&gt;=1,"PASSED",IF(AL20="","NO CREDIT"))))</f>
        <v>FAILED</v>
      </c>
    </row>
    <row r="21" spans="1:39" x14ac:dyDescent="0.2">
      <c r="A21" s="61">
        <f>'Class List'!A5</f>
        <v>3</v>
      </c>
      <c r="B21" s="71">
        <f>'Class List'!B5</f>
        <v>0</v>
      </c>
      <c r="C21" s="72" t="str">
        <f>'Class List'!C5</f>
        <v>,</v>
      </c>
      <c r="D21" s="72">
        <f>'Class List'!D5</f>
        <v>0</v>
      </c>
      <c r="E21" s="73">
        <f>'Class List'!E5</f>
        <v>0</v>
      </c>
      <c r="F21" s="214"/>
      <c r="G21" s="215"/>
      <c r="H21" s="215"/>
      <c r="I21" s="215"/>
      <c r="J21" s="215"/>
      <c r="K21" s="216"/>
      <c r="L21" s="217">
        <f t="shared" si="0"/>
        <v>0</v>
      </c>
      <c r="M21" s="218">
        <f t="shared" si="1"/>
        <v>0</v>
      </c>
      <c r="N21" s="219" t="str">
        <f>LOOKUP(M21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1" s="220">
        <f t="shared" si="2"/>
        <v>0.75</v>
      </c>
      <c r="P21" s="214"/>
      <c r="Q21" s="215"/>
      <c r="R21" s="215"/>
      <c r="S21" s="215"/>
      <c r="T21" s="216"/>
      <c r="U21" s="217">
        <f t="shared" si="3"/>
        <v>0</v>
      </c>
      <c r="V21" s="218">
        <f t="shared" si="4"/>
        <v>0</v>
      </c>
      <c r="W21" s="219" t="str">
        <f>LOOKUP(V21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1" s="220">
        <f t="shared" si="5"/>
        <v>1.75</v>
      </c>
      <c r="Y21" s="221"/>
      <c r="Z21" s="222">
        <f t="shared" si="6"/>
        <v>0</v>
      </c>
      <c r="AA21" s="223" t="str">
        <f>LOOKUP(Z21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1" s="224">
        <f t="shared" si="7"/>
        <v>1.25</v>
      </c>
      <c r="AC21" s="214"/>
      <c r="AD21" s="225">
        <f t="shared" si="8"/>
        <v>0</v>
      </c>
      <c r="AE21" s="219" t="str">
        <f>LOOKUP(AD21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1" s="242">
        <f t="shared" si="9"/>
        <v>1.25</v>
      </c>
      <c r="AG21" s="34">
        <f t="shared" si="12"/>
        <v>5</v>
      </c>
      <c r="AH21" s="177">
        <f t="shared" si="10"/>
        <v>4</v>
      </c>
      <c r="AI21" s="5">
        <f>MIDTERM!AL21</f>
        <v>4</v>
      </c>
      <c r="AJ21" s="179">
        <f t="shared" si="11"/>
        <v>0.8</v>
      </c>
      <c r="AK21" s="23">
        <f t="shared" si="13"/>
        <v>4.8</v>
      </c>
      <c r="AL21" s="119">
        <f t="shared" si="14"/>
        <v>5</v>
      </c>
      <c r="AM21" s="120" t="str">
        <f t="shared" si="15"/>
        <v>FAILED</v>
      </c>
    </row>
    <row r="22" spans="1:39" x14ac:dyDescent="0.2">
      <c r="A22" s="61">
        <f>'Class List'!A6</f>
        <v>4</v>
      </c>
      <c r="B22" s="71">
        <f>'Class List'!B6</f>
        <v>0</v>
      </c>
      <c r="C22" s="72" t="str">
        <f>'Class List'!C6</f>
        <v>,</v>
      </c>
      <c r="D22" s="72">
        <f>'Class List'!D6</f>
        <v>0</v>
      </c>
      <c r="E22" s="73">
        <f>'Class List'!E6</f>
        <v>0</v>
      </c>
      <c r="F22" s="214"/>
      <c r="G22" s="215"/>
      <c r="H22" s="215"/>
      <c r="I22" s="215"/>
      <c r="J22" s="215"/>
      <c r="K22" s="216"/>
      <c r="L22" s="217">
        <f t="shared" si="0"/>
        <v>0</v>
      </c>
      <c r="M22" s="218">
        <f t="shared" si="1"/>
        <v>0</v>
      </c>
      <c r="N22" s="219" t="str">
        <f>LOOKUP(M22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2" s="220">
        <f t="shared" si="2"/>
        <v>0.75</v>
      </c>
      <c r="P22" s="214"/>
      <c r="Q22" s="215"/>
      <c r="R22" s="215"/>
      <c r="S22" s="215"/>
      <c r="T22" s="216"/>
      <c r="U22" s="217">
        <f t="shared" si="3"/>
        <v>0</v>
      </c>
      <c r="V22" s="218">
        <f t="shared" si="4"/>
        <v>0</v>
      </c>
      <c r="W22" s="219" t="str">
        <f>LOOKUP(V22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2" s="220">
        <f t="shared" si="5"/>
        <v>1.75</v>
      </c>
      <c r="Y22" s="221"/>
      <c r="Z22" s="222">
        <f t="shared" si="6"/>
        <v>0</v>
      </c>
      <c r="AA22" s="223" t="str">
        <f>LOOKUP(Z22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2" s="224">
        <f t="shared" si="7"/>
        <v>1.25</v>
      </c>
      <c r="AC22" s="214"/>
      <c r="AD22" s="225">
        <f t="shared" si="8"/>
        <v>0</v>
      </c>
      <c r="AE22" s="219" t="str">
        <f>LOOKUP(AD22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2" s="242">
        <f t="shared" si="9"/>
        <v>1.25</v>
      </c>
      <c r="AG22" s="34">
        <f t="shared" si="12"/>
        <v>5</v>
      </c>
      <c r="AH22" s="177">
        <f t="shared" si="10"/>
        <v>4</v>
      </c>
      <c r="AI22" s="5">
        <f>MIDTERM!AL22</f>
        <v>4</v>
      </c>
      <c r="AJ22" s="179">
        <f t="shared" si="11"/>
        <v>0.8</v>
      </c>
      <c r="AK22" s="23">
        <f t="shared" si="13"/>
        <v>4.8</v>
      </c>
      <c r="AL22" s="119">
        <f t="shared" si="14"/>
        <v>5</v>
      </c>
      <c r="AM22" s="120" t="str">
        <f t="shared" si="15"/>
        <v>FAILED</v>
      </c>
    </row>
    <row r="23" spans="1:39" x14ac:dyDescent="0.2">
      <c r="A23" s="61">
        <f>'Class List'!A7</f>
        <v>5</v>
      </c>
      <c r="B23" s="71">
        <f>'Class List'!B7</f>
        <v>0</v>
      </c>
      <c r="C23" s="72" t="str">
        <f>'Class List'!C7</f>
        <v>,</v>
      </c>
      <c r="D23" s="72">
        <f>'Class List'!D7</f>
        <v>0</v>
      </c>
      <c r="E23" s="73">
        <f>'Class List'!E7</f>
        <v>0</v>
      </c>
      <c r="F23" s="214"/>
      <c r="G23" s="215"/>
      <c r="H23" s="215"/>
      <c r="I23" s="215"/>
      <c r="J23" s="215"/>
      <c r="K23" s="216"/>
      <c r="L23" s="217">
        <f t="shared" si="0"/>
        <v>0</v>
      </c>
      <c r="M23" s="218">
        <f t="shared" si="1"/>
        <v>0</v>
      </c>
      <c r="N23" s="219" t="str">
        <f>LOOKUP(M23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3" s="220">
        <f t="shared" si="2"/>
        <v>0.75</v>
      </c>
      <c r="P23" s="214"/>
      <c r="Q23" s="215"/>
      <c r="R23" s="215"/>
      <c r="S23" s="215"/>
      <c r="T23" s="216"/>
      <c r="U23" s="217">
        <f t="shared" si="3"/>
        <v>0</v>
      </c>
      <c r="V23" s="218">
        <f t="shared" si="4"/>
        <v>0</v>
      </c>
      <c r="W23" s="219" t="str">
        <f>LOOKUP(V23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3" s="220">
        <f t="shared" si="5"/>
        <v>1.75</v>
      </c>
      <c r="Y23" s="221"/>
      <c r="Z23" s="222">
        <f t="shared" si="6"/>
        <v>0</v>
      </c>
      <c r="AA23" s="223" t="str">
        <f>LOOKUP(Z23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3" s="224">
        <f t="shared" si="7"/>
        <v>1.25</v>
      </c>
      <c r="AC23" s="214"/>
      <c r="AD23" s="225">
        <f t="shared" si="8"/>
        <v>0</v>
      </c>
      <c r="AE23" s="219" t="str">
        <f>LOOKUP(AD23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3" s="242">
        <f t="shared" si="9"/>
        <v>1.25</v>
      </c>
      <c r="AG23" s="34">
        <f t="shared" si="12"/>
        <v>5</v>
      </c>
      <c r="AH23" s="177">
        <f t="shared" si="10"/>
        <v>4</v>
      </c>
      <c r="AI23" s="5">
        <f>MIDTERM!AL23</f>
        <v>4</v>
      </c>
      <c r="AJ23" s="179">
        <f t="shared" si="11"/>
        <v>0.8</v>
      </c>
      <c r="AK23" s="23">
        <f t="shared" si="13"/>
        <v>4.8</v>
      </c>
      <c r="AL23" s="119">
        <f t="shared" si="14"/>
        <v>5</v>
      </c>
      <c r="AM23" s="120" t="str">
        <f t="shared" si="15"/>
        <v>FAILED</v>
      </c>
    </row>
    <row r="24" spans="1:39" x14ac:dyDescent="0.2">
      <c r="A24" s="61">
        <f>'Class List'!A8</f>
        <v>6</v>
      </c>
      <c r="B24" s="71">
        <f>'Class List'!B8</f>
        <v>0</v>
      </c>
      <c r="C24" s="72" t="str">
        <f>'Class List'!C8</f>
        <v>,</v>
      </c>
      <c r="D24" s="72">
        <f>'Class List'!D8</f>
        <v>0</v>
      </c>
      <c r="E24" s="73">
        <f>'Class List'!E8</f>
        <v>0</v>
      </c>
      <c r="F24" s="214"/>
      <c r="G24" s="215"/>
      <c r="H24" s="215"/>
      <c r="I24" s="215"/>
      <c r="J24" s="215"/>
      <c r="K24" s="216"/>
      <c r="L24" s="217">
        <f t="shared" si="0"/>
        <v>0</v>
      </c>
      <c r="M24" s="218">
        <f t="shared" si="1"/>
        <v>0</v>
      </c>
      <c r="N24" s="219" t="str">
        <f>LOOKUP(M24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4" s="220">
        <f t="shared" si="2"/>
        <v>0.75</v>
      </c>
      <c r="P24" s="214"/>
      <c r="Q24" s="215"/>
      <c r="R24" s="215"/>
      <c r="S24" s="215"/>
      <c r="T24" s="216"/>
      <c r="U24" s="217">
        <f t="shared" si="3"/>
        <v>0</v>
      </c>
      <c r="V24" s="218">
        <f t="shared" si="4"/>
        <v>0</v>
      </c>
      <c r="W24" s="219" t="str">
        <f>LOOKUP(V24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4" s="220">
        <f t="shared" si="5"/>
        <v>1.75</v>
      </c>
      <c r="Y24" s="221"/>
      <c r="Z24" s="222">
        <f t="shared" si="6"/>
        <v>0</v>
      </c>
      <c r="AA24" s="223" t="str">
        <f>LOOKUP(Z24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4" s="224">
        <f t="shared" si="7"/>
        <v>1.25</v>
      </c>
      <c r="AC24" s="214"/>
      <c r="AD24" s="225">
        <f t="shared" si="8"/>
        <v>0</v>
      </c>
      <c r="AE24" s="219" t="str">
        <f>LOOKUP(AD24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4" s="242">
        <f t="shared" si="9"/>
        <v>1.25</v>
      </c>
      <c r="AG24" s="34">
        <f t="shared" si="12"/>
        <v>5</v>
      </c>
      <c r="AH24" s="177">
        <f t="shared" si="10"/>
        <v>4</v>
      </c>
      <c r="AI24" s="5">
        <f>MIDTERM!AL24</f>
        <v>4</v>
      </c>
      <c r="AJ24" s="179">
        <f t="shared" si="11"/>
        <v>0.8</v>
      </c>
      <c r="AK24" s="23">
        <f t="shared" si="13"/>
        <v>4.8</v>
      </c>
      <c r="AL24" s="119">
        <f t="shared" si="14"/>
        <v>5</v>
      </c>
      <c r="AM24" s="120" t="str">
        <f t="shared" si="15"/>
        <v>FAILED</v>
      </c>
    </row>
    <row r="25" spans="1:39" x14ac:dyDescent="0.2">
      <c r="A25" s="61">
        <f>'Class List'!A9</f>
        <v>7</v>
      </c>
      <c r="B25" s="71">
        <f>'Class List'!B9</f>
        <v>0</v>
      </c>
      <c r="C25" s="72" t="str">
        <f>'Class List'!C9</f>
        <v>,</v>
      </c>
      <c r="D25" s="72">
        <f>'Class List'!D9</f>
        <v>0</v>
      </c>
      <c r="E25" s="73">
        <f>'Class List'!E9</f>
        <v>0</v>
      </c>
      <c r="F25" s="214"/>
      <c r="G25" s="215"/>
      <c r="H25" s="215"/>
      <c r="I25" s="215"/>
      <c r="J25" s="215"/>
      <c r="K25" s="216"/>
      <c r="L25" s="217">
        <f t="shared" si="0"/>
        <v>0</v>
      </c>
      <c r="M25" s="218">
        <f t="shared" si="1"/>
        <v>0</v>
      </c>
      <c r="N25" s="219" t="str">
        <f>LOOKUP(M25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5" s="220">
        <f t="shared" si="2"/>
        <v>0.75</v>
      </c>
      <c r="P25" s="214"/>
      <c r="Q25" s="215"/>
      <c r="R25" s="215"/>
      <c r="S25" s="215"/>
      <c r="T25" s="216"/>
      <c r="U25" s="217">
        <f t="shared" si="3"/>
        <v>0</v>
      </c>
      <c r="V25" s="218">
        <f t="shared" si="4"/>
        <v>0</v>
      </c>
      <c r="W25" s="219" t="str">
        <f>LOOKUP(V25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5" s="220">
        <f t="shared" si="5"/>
        <v>1.75</v>
      </c>
      <c r="Y25" s="221"/>
      <c r="Z25" s="222">
        <f t="shared" si="6"/>
        <v>0</v>
      </c>
      <c r="AA25" s="223" t="str">
        <f>LOOKUP(Z25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5" s="224">
        <f t="shared" si="7"/>
        <v>1.25</v>
      </c>
      <c r="AC25" s="214"/>
      <c r="AD25" s="225">
        <f t="shared" si="8"/>
        <v>0</v>
      </c>
      <c r="AE25" s="219" t="str">
        <f>LOOKUP(AD25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5" s="242">
        <f t="shared" si="9"/>
        <v>1.25</v>
      </c>
      <c r="AG25" s="34">
        <f t="shared" si="12"/>
        <v>5</v>
      </c>
      <c r="AH25" s="177">
        <f t="shared" si="10"/>
        <v>4</v>
      </c>
      <c r="AI25" s="5">
        <f>MIDTERM!AL25</f>
        <v>4</v>
      </c>
      <c r="AJ25" s="179">
        <f t="shared" si="11"/>
        <v>0.8</v>
      </c>
      <c r="AK25" s="23">
        <f t="shared" si="13"/>
        <v>4.8</v>
      </c>
      <c r="AL25" s="119">
        <f t="shared" si="14"/>
        <v>5</v>
      </c>
      <c r="AM25" s="120" t="str">
        <f t="shared" si="15"/>
        <v>FAILED</v>
      </c>
    </row>
    <row r="26" spans="1:39" x14ac:dyDescent="0.2">
      <c r="A26" s="61">
        <f>'Class List'!A10</f>
        <v>8</v>
      </c>
      <c r="B26" s="71">
        <f>'Class List'!B10</f>
        <v>0</v>
      </c>
      <c r="C26" s="72" t="str">
        <f>'Class List'!C10</f>
        <v>,</v>
      </c>
      <c r="D26" s="72">
        <f>'Class List'!D10</f>
        <v>0</v>
      </c>
      <c r="E26" s="73">
        <f>'Class List'!E10</f>
        <v>0</v>
      </c>
      <c r="F26" s="214"/>
      <c r="G26" s="215"/>
      <c r="H26" s="215"/>
      <c r="I26" s="215"/>
      <c r="J26" s="215"/>
      <c r="K26" s="216"/>
      <c r="L26" s="217">
        <f t="shared" si="0"/>
        <v>0</v>
      </c>
      <c r="M26" s="218">
        <f t="shared" si="1"/>
        <v>0</v>
      </c>
      <c r="N26" s="219" t="str">
        <f>LOOKUP(M26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6" s="220">
        <f t="shared" si="2"/>
        <v>0.75</v>
      </c>
      <c r="P26" s="214"/>
      <c r="Q26" s="215"/>
      <c r="R26" s="215"/>
      <c r="S26" s="215"/>
      <c r="T26" s="216"/>
      <c r="U26" s="217">
        <f t="shared" si="3"/>
        <v>0</v>
      </c>
      <c r="V26" s="218">
        <f t="shared" si="4"/>
        <v>0</v>
      </c>
      <c r="W26" s="219" t="str">
        <f>LOOKUP(V26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6" s="220">
        <f t="shared" si="5"/>
        <v>1.75</v>
      </c>
      <c r="Y26" s="221"/>
      <c r="Z26" s="222">
        <f t="shared" si="6"/>
        <v>0</v>
      </c>
      <c r="AA26" s="223" t="str">
        <f>LOOKUP(Z26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6" s="224">
        <f t="shared" si="7"/>
        <v>1.25</v>
      </c>
      <c r="AC26" s="214"/>
      <c r="AD26" s="225">
        <f t="shared" si="8"/>
        <v>0</v>
      </c>
      <c r="AE26" s="219" t="str">
        <f>LOOKUP(AD26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6" s="242">
        <f t="shared" si="9"/>
        <v>1.25</v>
      </c>
      <c r="AG26" s="34">
        <f t="shared" si="12"/>
        <v>5</v>
      </c>
      <c r="AH26" s="177">
        <f t="shared" si="10"/>
        <v>4</v>
      </c>
      <c r="AI26" s="5">
        <f>MIDTERM!AL26</f>
        <v>4</v>
      </c>
      <c r="AJ26" s="179">
        <f t="shared" si="11"/>
        <v>0.8</v>
      </c>
      <c r="AK26" s="23">
        <f t="shared" si="13"/>
        <v>4.8</v>
      </c>
      <c r="AL26" s="119">
        <f t="shared" si="14"/>
        <v>5</v>
      </c>
      <c r="AM26" s="120" t="str">
        <f t="shared" si="15"/>
        <v>FAILED</v>
      </c>
    </row>
    <row r="27" spans="1:39" x14ac:dyDescent="0.2">
      <c r="A27" s="61">
        <f>'Class List'!A11</f>
        <v>9</v>
      </c>
      <c r="B27" s="71">
        <f>'Class List'!B11</f>
        <v>0</v>
      </c>
      <c r="C27" s="72" t="str">
        <f>'Class List'!C11</f>
        <v>,</v>
      </c>
      <c r="D27" s="72">
        <f>'Class List'!D11</f>
        <v>0</v>
      </c>
      <c r="E27" s="73">
        <f>'Class List'!E11</f>
        <v>0</v>
      </c>
      <c r="F27" s="214"/>
      <c r="G27" s="215"/>
      <c r="H27" s="215"/>
      <c r="I27" s="215"/>
      <c r="J27" s="215"/>
      <c r="K27" s="216"/>
      <c r="L27" s="217">
        <f t="shared" si="0"/>
        <v>0</v>
      </c>
      <c r="M27" s="218">
        <f t="shared" si="1"/>
        <v>0</v>
      </c>
      <c r="N27" s="219" t="str">
        <f>LOOKUP(M27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7" s="220">
        <f t="shared" si="2"/>
        <v>0.75</v>
      </c>
      <c r="P27" s="214"/>
      <c r="Q27" s="215"/>
      <c r="R27" s="215"/>
      <c r="S27" s="215"/>
      <c r="T27" s="216"/>
      <c r="U27" s="217">
        <f t="shared" si="3"/>
        <v>0</v>
      </c>
      <c r="V27" s="218">
        <f t="shared" si="4"/>
        <v>0</v>
      </c>
      <c r="W27" s="219" t="str">
        <f>LOOKUP(V27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7" s="220">
        <f t="shared" si="5"/>
        <v>1.75</v>
      </c>
      <c r="Y27" s="221"/>
      <c r="Z27" s="222">
        <f t="shared" si="6"/>
        <v>0</v>
      </c>
      <c r="AA27" s="223" t="str">
        <f>LOOKUP(Z27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7" s="224">
        <f t="shared" si="7"/>
        <v>1.25</v>
      </c>
      <c r="AC27" s="214"/>
      <c r="AD27" s="225">
        <f t="shared" si="8"/>
        <v>0</v>
      </c>
      <c r="AE27" s="219" t="str">
        <f>LOOKUP(AD27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7" s="242">
        <f t="shared" si="9"/>
        <v>1.25</v>
      </c>
      <c r="AG27" s="34">
        <f t="shared" si="12"/>
        <v>5</v>
      </c>
      <c r="AH27" s="177">
        <f t="shared" si="10"/>
        <v>4</v>
      </c>
      <c r="AI27" s="5">
        <f>MIDTERM!AL27</f>
        <v>4</v>
      </c>
      <c r="AJ27" s="179">
        <f t="shared" si="11"/>
        <v>0.8</v>
      </c>
      <c r="AK27" s="23">
        <f t="shared" si="13"/>
        <v>4.8</v>
      </c>
      <c r="AL27" s="119">
        <f t="shared" si="14"/>
        <v>5</v>
      </c>
      <c r="AM27" s="120" t="str">
        <f t="shared" si="15"/>
        <v>FAILED</v>
      </c>
    </row>
    <row r="28" spans="1:39" x14ac:dyDescent="0.2">
      <c r="A28" s="61">
        <f>'Class List'!A12</f>
        <v>10</v>
      </c>
      <c r="B28" s="71">
        <f>'Class List'!B12</f>
        <v>0</v>
      </c>
      <c r="C28" s="72" t="str">
        <f>'Class List'!C12</f>
        <v>,</v>
      </c>
      <c r="D28" s="72">
        <f>'Class List'!D12</f>
        <v>0</v>
      </c>
      <c r="E28" s="73">
        <f>'Class List'!E12</f>
        <v>0</v>
      </c>
      <c r="F28" s="214"/>
      <c r="G28" s="215"/>
      <c r="H28" s="215"/>
      <c r="I28" s="215"/>
      <c r="J28" s="215"/>
      <c r="K28" s="216"/>
      <c r="L28" s="217">
        <f t="shared" si="0"/>
        <v>0</v>
      </c>
      <c r="M28" s="218">
        <f t="shared" si="1"/>
        <v>0</v>
      </c>
      <c r="N28" s="219" t="str">
        <f>LOOKUP(M28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8" s="220">
        <f t="shared" si="2"/>
        <v>0.75</v>
      </c>
      <c r="P28" s="214"/>
      <c r="Q28" s="215"/>
      <c r="R28" s="215"/>
      <c r="S28" s="215"/>
      <c r="T28" s="216"/>
      <c r="U28" s="217">
        <f t="shared" si="3"/>
        <v>0</v>
      </c>
      <c r="V28" s="218">
        <f t="shared" si="4"/>
        <v>0</v>
      </c>
      <c r="W28" s="219" t="str">
        <f>LOOKUP(V28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8" s="220">
        <f t="shared" si="5"/>
        <v>1.75</v>
      </c>
      <c r="Y28" s="221"/>
      <c r="Z28" s="222">
        <f t="shared" si="6"/>
        <v>0</v>
      </c>
      <c r="AA28" s="223" t="str">
        <f>LOOKUP(Z28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8" s="224">
        <f t="shared" si="7"/>
        <v>1.25</v>
      </c>
      <c r="AC28" s="214"/>
      <c r="AD28" s="225">
        <f t="shared" si="8"/>
        <v>0</v>
      </c>
      <c r="AE28" s="219" t="str">
        <f>LOOKUP(AD28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8" s="242">
        <f t="shared" si="9"/>
        <v>1.25</v>
      </c>
      <c r="AG28" s="34">
        <f t="shared" si="12"/>
        <v>5</v>
      </c>
      <c r="AH28" s="177">
        <f t="shared" si="10"/>
        <v>4</v>
      </c>
      <c r="AI28" s="5">
        <f>MIDTERM!AL28</f>
        <v>4</v>
      </c>
      <c r="AJ28" s="179">
        <f t="shared" si="11"/>
        <v>0.8</v>
      </c>
      <c r="AK28" s="23">
        <f t="shared" si="13"/>
        <v>4.8</v>
      </c>
      <c r="AL28" s="119">
        <f t="shared" si="14"/>
        <v>5</v>
      </c>
      <c r="AM28" s="120" t="str">
        <f t="shared" si="15"/>
        <v>FAILED</v>
      </c>
    </row>
    <row r="29" spans="1:39" x14ac:dyDescent="0.2">
      <c r="A29" s="61">
        <f>'Class List'!A13</f>
        <v>11</v>
      </c>
      <c r="B29" s="71">
        <f>'Class List'!B13</f>
        <v>0</v>
      </c>
      <c r="C29" s="72" t="str">
        <f>'Class List'!C13</f>
        <v>,</v>
      </c>
      <c r="D29" s="72">
        <f>'Class List'!D13</f>
        <v>0</v>
      </c>
      <c r="E29" s="73">
        <f>'Class List'!E13</f>
        <v>0</v>
      </c>
      <c r="F29" s="214"/>
      <c r="G29" s="215"/>
      <c r="H29" s="215"/>
      <c r="I29" s="215"/>
      <c r="J29" s="215"/>
      <c r="K29" s="216"/>
      <c r="L29" s="217">
        <f t="shared" si="0"/>
        <v>0</v>
      </c>
      <c r="M29" s="218">
        <f t="shared" si="1"/>
        <v>0</v>
      </c>
      <c r="N29" s="219" t="str">
        <f>LOOKUP(M29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29" s="220">
        <f t="shared" si="2"/>
        <v>0.75</v>
      </c>
      <c r="P29" s="214"/>
      <c r="Q29" s="215"/>
      <c r="R29" s="215"/>
      <c r="S29" s="215"/>
      <c r="T29" s="216"/>
      <c r="U29" s="217">
        <f t="shared" si="3"/>
        <v>0</v>
      </c>
      <c r="V29" s="218">
        <f t="shared" si="4"/>
        <v>0</v>
      </c>
      <c r="W29" s="219" t="str">
        <f>LOOKUP(V29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29" s="220">
        <f t="shared" si="5"/>
        <v>1.75</v>
      </c>
      <c r="Y29" s="221"/>
      <c r="Z29" s="222">
        <f t="shared" si="6"/>
        <v>0</v>
      </c>
      <c r="AA29" s="223" t="str">
        <f>LOOKUP(Z29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29" s="224">
        <f t="shared" si="7"/>
        <v>1.25</v>
      </c>
      <c r="AC29" s="214"/>
      <c r="AD29" s="225">
        <f t="shared" si="8"/>
        <v>0</v>
      </c>
      <c r="AE29" s="219" t="str">
        <f>LOOKUP(AD29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29" s="242">
        <f t="shared" si="9"/>
        <v>1.25</v>
      </c>
      <c r="AG29" s="34">
        <f t="shared" si="12"/>
        <v>5</v>
      </c>
      <c r="AH29" s="177">
        <f t="shared" si="10"/>
        <v>4</v>
      </c>
      <c r="AI29" s="5">
        <f>MIDTERM!AL29</f>
        <v>4</v>
      </c>
      <c r="AJ29" s="179">
        <f t="shared" si="11"/>
        <v>0.8</v>
      </c>
      <c r="AK29" s="23">
        <f t="shared" si="13"/>
        <v>4.8</v>
      </c>
      <c r="AL29" s="119">
        <f t="shared" si="14"/>
        <v>5</v>
      </c>
      <c r="AM29" s="120" t="str">
        <f t="shared" si="15"/>
        <v>FAILED</v>
      </c>
    </row>
    <row r="30" spans="1:39" x14ac:dyDescent="0.2">
      <c r="A30" s="61">
        <f>'Class List'!A14</f>
        <v>12</v>
      </c>
      <c r="B30" s="71">
        <f>'Class List'!B14</f>
        <v>0</v>
      </c>
      <c r="C30" s="72" t="str">
        <f>'Class List'!C14</f>
        <v>,</v>
      </c>
      <c r="D30" s="72">
        <f>'Class List'!D14</f>
        <v>0</v>
      </c>
      <c r="E30" s="73">
        <f>'Class List'!E14</f>
        <v>0</v>
      </c>
      <c r="F30" s="214"/>
      <c r="G30" s="215"/>
      <c r="H30" s="215"/>
      <c r="I30" s="215"/>
      <c r="J30" s="215"/>
      <c r="K30" s="216"/>
      <c r="L30" s="217">
        <f t="shared" si="0"/>
        <v>0</v>
      </c>
      <c r="M30" s="218">
        <f t="shared" si="1"/>
        <v>0</v>
      </c>
      <c r="N30" s="219" t="str">
        <f>LOOKUP(M30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0" s="220">
        <f t="shared" si="2"/>
        <v>0.75</v>
      </c>
      <c r="P30" s="214"/>
      <c r="Q30" s="215"/>
      <c r="R30" s="215"/>
      <c r="S30" s="215"/>
      <c r="T30" s="216"/>
      <c r="U30" s="217">
        <f t="shared" si="3"/>
        <v>0</v>
      </c>
      <c r="V30" s="218">
        <f t="shared" si="4"/>
        <v>0</v>
      </c>
      <c r="W30" s="219" t="str">
        <f>LOOKUP(V30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0" s="220">
        <f t="shared" si="5"/>
        <v>1.75</v>
      </c>
      <c r="Y30" s="221"/>
      <c r="Z30" s="222">
        <f t="shared" si="6"/>
        <v>0</v>
      </c>
      <c r="AA30" s="223" t="str">
        <f>LOOKUP(Z30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0" s="224">
        <f t="shared" si="7"/>
        <v>1.25</v>
      </c>
      <c r="AC30" s="214"/>
      <c r="AD30" s="225">
        <f t="shared" si="8"/>
        <v>0</v>
      </c>
      <c r="AE30" s="219" t="str">
        <f>LOOKUP(AD30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0" s="242">
        <f t="shared" si="9"/>
        <v>1.25</v>
      </c>
      <c r="AG30" s="34">
        <f t="shared" si="12"/>
        <v>5</v>
      </c>
      <c r="AH30" s="177">
        <f t="shared" si="10"/>
        <v>4</v>
      </c>
      <c r="AI30" s="5">
        <f>MIDTERM!AL30</f>
        <v>4</v>
      </c>
      <c r="AJ30" s="179">
        <f t="shared" si="11"/>
        <v>0.8</v>
      </c>
      <c r="AK30" s="23">
        <f t="shared" si="13"/>
        <v>4.8</v>
      </c>
      <c r="AL30" s="119">
        <f t="shared" si="14"/>
        <v>5</v>
      </c>
      <c r="AM30" s="120" t="str">
        <f t="shared" si="15"/>
        <v>FAILED</v>
      </c>
    </row>
    <row r="31" spans="1:39" x14ac:dyDescent="0.2">
      <c r="A31" s="61">
        <f>'Class List'!A15</f>
        <v>13</v>
      </c>
      <c r="B31" s="71">
        <f>'Class List'!B15</f>
        <v>0</v>
      </c>
      <c r="C31" s="72" t="str">
        <f>'Class List'!C15</f>
        <v>,</v>
      </c>
      <c r="D31" s="72">
        <f>'Class List'!D15</f>
        <v>0</v>
      </c>
      <c r="E31" s="73">
        <f>'Class List'!E15</f>
        <v>0</v>
      </c>
      <c r="F31" s="214"/>
      <c r="G31" s="215"/>
      <c r="H31" s="215"/>
      <c r="I31" s="215"/>
      <c r="J31" s="215"/>
      <c r="K31" s="216"/>
      <c r="L31" s="217">
        <f t="shared" si="0"/>
        <v>0</v>
      </c>
      <c r="M31" s="218">
        <f t="shared" si="1"/>
        <v>0</v>
      </c>
      <c r="N31" s="219" t="str">
        <f>LOOKUP(M31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1" s="220">
        <f t="shared" si="2"/>
        <v>0.75</v>
      </c>
      <c r="P31" s="214"/>
      <c r="Q31" s="215"/>
      <c r="R31" s="215"/>
      <c r="S31" s="215"/>
      <c r="T31" s="216"/>
      <c r="U31" s="217">
        <f t="shared" si="3"/>
        <v>0</v>
      </c>
      <c r="V31" s="218">
        <f t="shared" si="4"/>
        <v>0</v>
      </c>
      <c r="W31" s="219" t="str">
        <f>LOOKUP(V31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1" s="220">
        <f t="shared" si="5"/>
        <v>1.75</v>
      </c>
      <c r="Y31" s="221"/>
      <c r="Z31" s="222">
        <f t="shared" si="6"/>
        <v>0</v>
      </c>
      <c r="AA31" s="223" t="str">
        <f>LOOKUP(Z31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1" s="224">
        <f t="shared" si="7"/>
        <v>1.25</v>
      </c>
      <c r="AC31" s="214"/>
      <c r="AD31" s="225">
        <f t="shared" si="8"/>
        <v>0</v>
      </c>
      <c r="AE31" s="219" t="str">
        <f>LOOKUP(AD31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1" s="242">
        <f t="shared" si="9"/>
        <v>1.25</v>
      </c>
      <c r="AG31" s="34">
        <f t="shared" si="12"/>
        <v>5</v>
      </c>
      <c r="AH31" s="177">
        <f t="shared" si="10"/>
        <v>4</v>
      </c>
      <c r="AI31" s="5">
        <f>MIDTERM!AL31</f>
        <v>4</v>
      </c>
      <c r="AJ31" s="179">
        <f t="shared" si="11"/>
        <v>0.8</v>
      </c>
      <c r="AK31" s="23">
        <f t="shared" si="13"/>
        <v>4.8</v>
      </c>
      <c r="AL31" s="119">
        <f t="shared" si="14"/>
        <v>5</v>
      </c>
      <c r="AM31" s="120" t="str">
        <f t="shared" si="15"/>
        <v>FAILED</v>
      </c>
    </row>
    <row r="32" spans="1:39" x14ac:dyDescent="0.2">
      <c r="A32" s="61">
        <f>'Class List'!A16</f>
        <v>14</v>
      </c>
      <c r="B32" s="71">
        <f>'Class List'!B16</f>
        <v>0</v>
      </c>
      <c r="C32" s="72" t="str">
        <f>'Class List'!C16</f>
        <v>,</v>
      </c>
      <c r="D32" s="72">
        <f>'Class List'!D16</f>
        <v>0</v>
      </c>
      <c r="E32" s="73">
        <f>'Class List'!E16</f>
        <v>0</v>
      </c>
      <c r="F32" s="214"/>
      <c r="G32" s="215"/>
      <c r="H32" s="215"/>
      <c r="I32" s="215"/>
      <c r="J32" s="215"/>
      <c r="K32" s="216"/>
      <c r="L32" s="217">
        <f t="shared" si="0"/>
        <v>0</v>
      </c>
      <c r="M32" s="218">
        <f t="shared" si="1"/>
        <v>0</v>
      </c>
      <c r="N32" s="219" t="str">
        <f>LOOKUP(M32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2" s="220">
        <f t="shared" si="2"/>
        <v>0.75</v>
      </c>
      <c r="P32" s="214"/>
      <c r="Q32" s="215"/>
      <c r="R32" s="215"/>
      <c r="S32" s="215"/>
      <c r="T32" s="216"/>
      <c r="U32" s="217">
        <f t="shared" si="3"/>
        <v>0</v>
      </c>
      <c r="V32" s="218">
        <f t="shared" si="4"/>
        <v>0</v>
      </c>
      <c r="W32" s="219" t="str">
        <f>LOOKUP(V32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2" s="220">
        <f t="shared" si="5"/>
        <v>1.75</v>
      </c>
      <c r="Y32" s="221"/>
      <c r="Z32" s="222">
        <f t="shared" si="6"/>
        <v>0</v>
      </c>
      <c r="AA32" s="223" t="str">
        <f>LOOKUP(Z32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2" s="224">
        <f t="shared" si="7"/>
        <v>1.25</v>
      </c>
      <c r="AC32" s="214"/>
      <c r="AD32" s="225">
        <f t="shared" si="8"/>
        <v>0</v>
      </c>
      <c r="AE32" s="219" t="str">
        <f>LOOKUP(AD32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2" s="242">
        <f t="shared" si="9"/>
        <v>1.25</v>
      </c>
      <c r="AG32" s="34">
        <f t="shared" si="12"/>
        <v>5</v>
      </c>
      <c r="AH32" s="177">
        <f t="shared" si="10"/>
        <v>4</v>
      </c>
      <c r="AI32" s="5">
        <f>MIDTERM!AL32</f>
        <v>4</v>
      </c>
      <c r="AJ32" s="179">
        <f t="shared" si="11"/>
        <v>0.8</v>
      </c>
      <c r="AK32" s="23">
        <f t="shared" si="13"/>
        <v>4.8</v>
      </c>
      <c r="AL32" s="119">
        <f t="shared" si="14"/>
        <v>5</v>
      </c>
      <c r="AM32" s="120" t="str">
        <f t="shared" si="15"/>
        <v>FAILED</v>
      </c>
    </row>
    <row r="33" spans="1:39" x14ac:dyDescent="0.2">
      <c r="A33" s="61">
        <f>'Class List'!A17</f>
        <v>15</v>
      </c>
      <c r="B33" s="71">
        <f>'Class List'!B17</f>
        <v>0</v>
      </c>
      <c r="C33" s="72" t="str">
        <f>'Class List'!C17</f>
        <v>,</v>
      </c>
      <c r="D33" s="72">
        <f>'Class List'!D17</f>
        <v>0</v>
      </c>
      <c r="E33" s="73">
        <f>'Class List'!E17</f>
        <v>0</v>
      </c>
      <c r="F33" s="214"/>
      <c r="G33" s="215"/>
      <c r="H33" s="215"/>
      <c r="I33" s="215"/>
      <c r="J33" s="215"/>
      <c r="K33" s="216"/>
      <c r="L33" s="217">
        <f t="shared" si="0"/>
        <v>0</v>
      </c>
      <c r="M33" s="218">
        <f t="shared" si="1"/>
        <v>0</v>
      </c>
      <c r="N33" s="219" t="str">
        <f>LOOKUP(M33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3" s="220">
        <f t="shared" si="2"/>
        <v>0.75</v>
      </c>
      <c r="P33" s="214"/>
      <c r="Q33" s="215"/>
      <c r="R33" s="215"/>
      <c r="S33" s="215"/>
      <c r="T33" s="216"/>
      <c r="U33" s="217">
        <f t="shared" si="3"/>
        <v>0</v>
      </c>
      <c r="V33" s="218">
        <f t="shared" si="4"/>
        <v>0</v>
      </c>
      <c r="W33" s="219" t="str">
        <f>LOOKUP(V33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3" s="220">
        <f t="shared" si="5"/>
        <v>1.75</v>
      </c>
      <c r="Y33" s="221"/>
      <c r="Z33" s="222">
        <f t="shared" si="6"/>
        <v>0</v>
      </c>
      <c r="AA33" s="223" t="str">
        <f>LOOKUP(Z33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3" s="224">
        <f t="shared" si="7"/>
        <v>1.25</v>
      </c>
      <c r="AC33" s="214"/>
      <c r="AD33" s="225">
        <f t="shared" si="8"/>
        <v>0</v>
      </c>
      <c r="AE33" s="219" t="str">
        <f>LOOKUP(AD33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3" s="242">
        <f t="shared" si="9"/>
        <v>1.25</v>
      </c>
      <c r="AG33" s="34">
        <f t="shared" si="12"/>
        <v>5</v>
      </c>
      <c r="AH33" s="177">
        <f t="shared" si="10"/>
        <v>4</v>
      </c>
      <c r="AI33" s="5">
        <f>MIDTERM!AL33</f>
        <v>4</v>
      </c>
      <c r="AJ33" s="179">
        <f t="shared" si="11"/>
        <v>0.8</v>
      </c>
      <c r="AK33" s="23">
        <f t="shared" si="13"/>
        <v>4.8</v>
      </c>
      <c r="AL33" s="119">
        <f t="shared" si="14"/>
        <v>5</v>
      </c>
      <c r="AM33" s="120" t="str">
        <f t="shared" si="15"/>
        <v>FAILED</v>
      </c>
    </row>
    <row r="34" spans="1:39" x14ac:dyDescent="0.2">
      <c r="A34" s="61">
        <f>'Class List'!A18</f>
        <v>16</v>
      </c>
      <c r="B34" s="71">
        <f>'Class List'!B18</f>
        <v>0</v>
      </c>
      <c r="C34" s="72" t="str">
        <f>'Class List'!C18</f>
        <v>,</v>
      </c>
      <c r="D34" s="72">
        <f>'Class List'!D18</f>
        <v>0</v>
      </c>
      <c r="E34" s="73">
        <f>'Class List'!E18</f>
        <v>0</v>
      </c>
      <c r="F34" s="214"/>
      <c r="G34" s="215"/>
      <c r="H34" s="215"/>
      <c r="I34" s="215"/>
      <c r="J34" s="215"/>
      <c r="K34" s="216"/>
      <c r="L34" s="217">
        <f t="shared" si="0"/>
        <v>0</v>
      </c>
      <c r="M34" s="218">
        <f t="shared" si="1"/>
        <v>0</v>
      </c>
      <c r="N34" s="219" t="str">
        <f>LOOKUP(M34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4" s="220">
        <f t="shared" si="2"/>
        <v>0.75</v>
      </c>
      <c r="P34" s="214"/>
      <c r="Q34" s="215"/>
      <c r="R34" s="215"/>
      <c r="S34" s="215"/>
      <c r="T34" s="216"/>
      <c r="U34" s="217">
        <f t="shared" si="3"/>
        <v>0</v>
      </c>
      <c r="V34" s="218">
        <f t="shared" si="4"/>
        <v>0</v>
      </c>
      <c r="W34" s="219" t="str">
        <f>LOOKUP(V34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4" s="220">
        <f t="shared" si="5"/>
        <v>1.75</v>
      </c>
      <c r="Y34" s="221"/>
      <c r="Z34" s="222">
        <f t="shared" si="6"/>
        <v>0</v>
      </c>
      <c r="AA34" s="223" t="str">
        <f>LOOKUP(Z34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4" s="224">
        <f t="shared" si="7"/>
        <v>1.25</v>
      </c>
      <c r="AC34" s="214"/>
      <c r="AD34" s="225">
        <f t="shared" si="8"/>
        <v>0</v>
      </c>
      <c r="AE34" s="219" t="str">
        <f>LOOKUP(AD34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4" s="242">
        <f t="shared" si="9"/>
        <v>1.25</v>
      </c>
      <c r="AG34" s="34">
        <f t="shared" si="12"/>
        <v>5</v>
      </c>
      <c r="AH34" s="177">
        <f t="shared" si="10"/>
        <v>4</v>
      </c>
      <c r="AI34" s="5">
        <f>MIDTERM!AL34</f>
        <v>4</v>
      </c>
      <c r="AJ34" s="179">
        <f t="shared" si="11"/>
        <v>0.8</v>
      </c>
      <c r="AK34" s="23">
        <f t="shared" si="13"/>
        <v>4.8</v>
      </c>
      <c r="AL34" s="119">
        <f t="shared" si="14"/>
        <v>5</v>
      </c>
      <c r="AM34" s="120" t="str">
        <f t="shared" si="15"/>
        <v>FAILED</v>
      </c>
    </row>
    <row r="35" spans="1:39" x14ac:dyDescent="0.2">
      <c r="A35" s="61">
        <f>'Class List'!A19</f>
        <v>17</v>
      </c>
      <c r="B35" s="71">
        <f>'Class List'!B19</f>
        <v>0</v>
      </c>
      <c r="C35" s="72" t="str">
        <f>'Class List'!C19</f>
        <v>,</v>
      </c>
      <c r="D35" s="72">
        <f>'Class List'!D19</f>
        <v>0</v>
      </c>
      <c r="E35" s="73">
        <f>'Class List'!E19</f>
        <v>0</v>
      </c>
      <c r="F35" s="214"/>
      <c r="G35" s="215"/>
      <c r="H35" s="215"/>
      <c r="I35" s="215"/>
      <c r="J35" s="215"/>
      <c r="K35" s="216"/>
      <c r="L35" s="217">
        <f t="shared" si="0"/>
        <v>0</v>
      </c>
      <c r="M35" s="218">
        <f t="shared" si="1"/>
        <v>0</v>
      </c>
      <c r="N35" s="219" t="str">
        <f>LOOKUP(M35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5" s="220">
        <f t="shared" si="2"/>
        <v>0.75</v>
      </c>
      <c r="P35" s="214"/>
      <c r="Q35" s="215"/>
      <c r="R35" s="215"/>
      <c r="S35" s="215"/>
      <c r="T35" s="216"/>
      <c r="U35" s="217">
        <f t="shared" si="3"/>
        <v>0</v>
      </c>
      <c r="V35" s="218">
        <f t="shared" si="4"/>
        <v>0</v>
      </c>
      <c r="W35" s="219" t="str">
        <f>LOOKUP(V35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5" s="220">
        <f t="shared" si="5"/>
        <v>1.75</v>
      </c>
      <c r="Y35" s="221"/>
      <c r="Z35" s="222">
        <f t="shared" si="6"/>
        <v>0</v>
      </c>
      <c r="AA35" s="223" t="str">
        <f>LOOKUP(Z35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5" s="224">
        <f t="shared" si="7"/>
        <v>1.25</v>
      </c>
      <c r="AC35" s="214"/>
      <c r="AD35" s="225">
        <f t="shared" si="8"/>
        <v>0</v>
      </c>
      <c r="AE35" s="219" t="str">
        <f>LOOKUP(AD35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5" s="242">
        <f t="shared" si="9"/>
        <v>1.25</v>
      </c>
      <c r="AG35" s="34">
        <f t="shared" si="12"/>
        <v>5</v>
      </c>
      <c r="AH35" s="177">
        <f t="shared" si="10"/>
        <v>4</v>
      </c>
      <c r="AI35" s="5">
        <f>MIDTERM!AL35</f>
        <v>4</v>
      </c>
      <c r="AJ35" s="179">
        <f t="shared" si="11"/>
        <v>0.8</v>
      </c>
      <c r="AK35" s="23">
        <f t="shared" si="13"/>
        <v>4.8</v>
      </c>
      <c r="AL35" s="119">
        <f t="shared" si="14"/>
        <v>5</v>
      </c>
      <c r="AM35" s="120" t="str">
        <f t="shared" si="15"/>
        <v>FAILED</v>
      </c>
    </row>
    <row r="36" spans="1:39" x14ac:dyDescent="0.2">
      <c r="A36" s="61">
        <f>'Class List'!A20</f>
        <v>18</v>
      </c>
      <c r="B36" s="71">
        <f>'Class List'!B20</f>
        <v>0</v>
      </c>
      <c r="C36" s="72" t="str">
        <f>'Class List'!C20</f>
        <v>,</v>
      </c>
      <c r="D36" s="72">
        <f>'Class List'!D20</f>
        <v>0</v>
      </c>
      <c r="E36" s="73">
        <f>'Class List'!E20</f>
        <v>0</v>
      </c>
      <c r="F36" s="214"/>
      <c r="G36" s="215"/>
      <c r="H36" s="215"/>
      <c r="I36" s="215"/>
      <c r="J36" s="215"/>
      <c r="K36" s="216"/>
      <c r="L36" s="217">
        <f t="shared" si="0"/>
        <v>0</v>
      </c>
      <c r="M36" s="218">
        <f t="shared" si="1"/>
        <v>0</v>
      </c>
      <c r="N36" s="219" t="str">
        <f>LOOKUP(M36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6" s="220">
        <f t="shared" si="2"/>
        <v>0.75</v>
      </c>
      <c r="P36" s="214"/>
      <c r="Q36" s="215"/>
      <c r="R36" s="215"/>
      <c r="S36" s="215"/>
      <c r="T36" s="216"/>
      <c r="U36" s="217">
        <f t="shared" si="3"/>
        <v>0</v>
      </c>
      <c r="V36" s="218">
        <f t="shared" si="4"/>
        <v>0</v>
      </c>
      <c r="W36" s="219" t="str">
        <f>LOOKUP(V36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6" s="220">
        <f t="shared" si="5"/>
        <v>1.75</v>
      </c>
      <c r="Y36" s="221"/>
      <c r="Z36" s="222">
        <f t="shared" si="6"/>
        <v>0</v>
      </c>
      <c r="AA36" s="223" t="str">
        <f>LOOKUP(Z36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6" s="224">
        <f t="shared" si="7"/>
        <v>1.25</v>
      </c>
      <c r="AC36" s="214"/>
      <c r="AD36" s="225">
        <f t="shared" si="8"/>
        <v>0</v>
      </c>
      <c r="AE36" s="219" t="str">
        <f>LOOKUP(AD36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6" s="242">
        <f t="shared" si="9"/>
        <v>1.25</v>
      </c>
      <c r="AG36" s="34">
        <f t="shared" si="12"/>
        <v>5</v>
      </c>
      <c r="AH36" s="177">
        <f t="shared" si="10"/>
        <v>4</v>
      </c>
      <c r="AI36" s="5">
        <f>MIDTERM!AL36</f>
        <v>4</v>
      </c>
      <c r="AJ36" s="179">
        <f t="shared" si="11"/>
        <v>0.8</v>
      </c>
      <c r="AK36" s="23">
        <f t="shared" si="13"/>
        <v>4.8</v>
      </c>
      <c r="AL36" s="119">
        <f t="shared" si="14"/>
        <v>5</v>
      </c>
      <c r="AM36" s="120" t="str">
        <f t="shared" si="15"/>
        <v>FAILED</v>
      </c>
    </row>
    <row r="37" spans="1:39" x14ac:dyDescent="0.2">
      <c r="A37" s="61">
        <f>'Class List'!A21</f>
        <v>19</v>
      </c>
      <c r="B37" s="71">
        <f>'Class List'!B21</f>
        <v>0</v>
      </c>
      <c r="C37" s="72" t="str">
        <f>'Class List'!C21</f>
        <v>,</v>
      </c>
      <c r="D37" s="72">
        <f>'Class List'!D21</f>
        <v>0</v>
      </c>
      <c r="E37" s="73">
        <f>'Class List'!E21</f>
        <v>0</v>
      </c>
      <c r="F37" s="214"/>
      <c r="G37" s="215"/>
      <c r="H37" s="215"/>
      <c r="I37" s="215"/>
      <c r="J37" s="215"/>
      <c r="K37" s="216"/>
      <c r="L37" s="217">
        <f t="shared" si="0"/>
        <v>0</v>
      </c>
      <c r="M37" s="218">
        <f t="shared" si="1"/>
        <v>0</v>
      </c>
      <c r="N37" s="219" t="str">
        <f>LOOKUP(M37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7" s="220">
        <f t="shared" si="2"/>
        <v>0.75</v>
      </c>
      <c r="P37" s="214"/>
      <c r="Q37" s="215"/>
      <c r="R37" s="215"/>
      <c r="S37" s="215"/>
      <c r="T37" s="216"/>
      <c r="U37" s="217">
        <f t="shared" si="3"/>
        <v>0</v>
      </c>
      <c r="V37" s="218">
        <f t="shared" si="4"/>
        <v>0</v>
      </c>
      <c r="W37" s="219" t="str">
        <f>LOOKUP(V37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7" s="220">
        <f t="shared" si="5"/>
        <v>1.75</v>
      </c>
      <c r="Y37" s="221"/>
      <c r="Z37" s="222">
        <f t="shared" si="6"/>
        <v>0</v>
      </c>
      <c r="AA37" s="223" t="str">
        <f>LOOKUP(Z37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7" s="224">
        <f t="shared" si="7"/>
        <v>1.25</v>
      </c>
      <c r="AC37" s="214"/>
      <c r="AD37" s="225">
        <f t="shared" si="8"/>
        <v>0</v>
      </c>
      <c r="AE37" s="219" t="str">
        <f>LOOKUP(AD37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7" s="242">
        <f t="shared" si="9"/>
        <v>1.25</v>
      </c>
      <c r="AG37" s="34">
        <f t="shared" si="12"/>
        <v>5</v>
      </c>
      <c r="AH37" s="177">
        <f t="shared" si="10"/>
        <v>4</v>
      </c>
      <c r="AI37" s="5">
        <f>MIDTERM!AL37</f>
        <v>4</v>
      </c>
      <c r="AJ37" s="179">
        <f t="shared" si="11"/>
        <v>0.8</v>
      </c>
      <c r="AK37" s="23">
        <f t="shared" si="13"/>
        <v>4.8</v>
      </c>
      <c r="AL37" s="119">
        <f t="shared" si="14"/>
        <v>5</v>
      </c>
      <c r="AM37" s="120" t="str">
        <f t="shared" si="15"/>
        <v>FAILED</v>
      </c>
    </row>
    <row r="38" spans="1:39" x14ac:dyDescent="0.2">
      <c r="A38" s="61">
        <f>'Class List'!A22</f>
        <v>20</v>
      </c>
      <c r="B38" s="71">
        <f>'Class List'!B22</f>
        <v>0</v>
      </c>
      <c r="C38" s="72" t="str">
        <f>'Class List'!C22</f>
        <v>,</v>
      </c>
      <c r="D38" s="72">
        <f>'Class List'!D22</f>
        <v>0</v>
      </c>
      <c r="E38" s="73">
        <f>'Class List'!E22</f>
        <v>0</v>
      </c>
      <c r="F38" s="214"/>
      <c r="G38" s="215"/>
      <c r="H38" s="215"/>
      <c r="I38" s="215"/>
      <c r="J38" s="215"/>
      <c r="K38" s="216"/>
      <c r="L38" s="217">
        <f t="shared" si="0"/>
        <v>0</v>
      </c>
      <c r="M38" s="218">
        <f t="shared" si="1"/>
        <v>0</v>
      </c>
      <c r="N38" s="219" t="str">
        <f>LOOKUP(M38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8" s="220">
        <f t="shared" si="2"/>
        <v>0.75</v>
      </c>
      <c r="P38" s="214"/>
      <c r="Q38" s="215"/>
      <c r="R38" s="215"/>
      <c r="S38" s="215"/>
      <c r="T38" s="216"/>
      <c r="U38" s="217">
        <f t="shared" si="3"/>
        <v>0</v>
      </c>
      <c r="V38" s="218">
        <f t="shared" si="4"/>
        <v>0</v>
      </c>
      <c r="W38" s="219" t="str">
        <f>LOOKUP(V38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8" s="220">
        <f t="shared" si="5"/>
        <v>1.75</v>
      </c>
      <c r="Y38" s="221"/>
      <c r="Z38" s="222">
        <f t="shared" si="6"/>
        <v>0</v>
      </c>
      <c r="AA38" s="223" t="str">
        <f>LOOKUP(Z38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8" s="224">
        <f t="shared" si="7"/>
        <v>1.25</v>
      </c>
      <c r="AC38" s="214"/>
      <c r="AD38" s="225">
        <f t="shared" si="8"/>
        <v>0</v>
      </c>
      <c r="AE38" s="219" t="str">
        <f>LOOKUP(AD38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8" s="242">
        <f t="shared" si="9"/>
        <v>1.25</v>
      </c>
      <c r="AG38" s="34">
        <f t="shared" si="12"/>
        <v>5</v>
      </c>
      <c r="AH38" s="177">
        <f t="shared" si="10"/>
        <v>4</v>
      </c>
      <c r="AI38" s="5">
        <f>MIDTERM!AL38</f>
        <v>4</v>
      </c>
      <c r="AJ38" s="179">
        <f t="shared" si="11"/>
        <v>0.8</v>
      </c>
      <c r="AK38" s="23">
        <f t="shared" si="13"/>
        <v>4.8</v>
      </c>
      <c r="AL38" s="119">
        <f t="shared" si="14"/>
        <v>5</v>
      </c>
      <c r="AM38" s="120" t="str">
        <f t="shared" si="15"/>
        <v>FAILED</v>
      </c>
    </row>
    <row r="39" spans="1:39" x14ac:dyDescent="0.2">
      <c r="A39" s="61">
        <f>'Class List'!A23</f>
        <v>21</v>
      </c>
      <c r="B39" s="71">
        <f>'Class List'!B23</f>
        <v>0</v>
      </c>
      <c r="C39" s="72" t="str">
        <f>'Class List'!C23</f>
        <v>,</v>
      </c>
      <c r="D39" s="72">
        <f>'Class List'!D23</f>
        <v>0</v>
      </c>
      <c r="E39" s="73">
        <f>'Class List'!E23</f>
        <v>0</v>
      </c>
      <c r="F39" s="214"/>
      <c r="G39" s="215"/>
      <c r="H39" s="215"/>
      <c r="I39" s="215"/>
      <c r="J39" s="215"/>
      <c r="K39" s="216"/>
      <c r="L39" s="217">
        <f t="shared" si="0"/>
        <v>0</v>
      </c>
      <c r="M39" s="218">
        <f t="shared" si="1"/>
        <v>0</v>
      </c>
      <c r="N39" s="219" t="str">
        <f>LOOKUP(M39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39" s="220">
        <f t="shared" si="2"/>
        <v>0.75</v>
      </c>
      <c r="P39" s="214"/>
      <c r="Q39" s="215"/>
      <c r="R39" s="215"/>
      <c r="S39" s="215"/>
      <c r="T39" s="216"/>
      <c r="U39" s="217">
        <f t="shared" si="3"/>
        <v>0</v>
      </c>
      <c r="V39" s="218">
        <f t="shared" si="4"/>
        <v>0</v>
      </c>
      <c r="W39" s="219" t="str">
        <f>LOOKUP(V39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39" s="220">
        <f t="shared" si="5"/>
        <v>1.75</v>
      </c>
      <c r="Y39" s="221"/>
      <c r="Z39" s="222">
        <f t="shared" si="6"/>
        <v>0</v>
      </c>
      <c r="AA39" s="223" t="str">
        <f>LOOKUP(Z39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39" s="224">
        <f t="shared" si="7"/>
        <v>1.25</v>
      </c>
      <c r="AC39" s="214"/>
      <c r="AD39" s="225">
        <f t="shared" si="8"/>
        <v>0</v>
      </c>
      <c r="AE39" s="219" t="str">
        <f>LOOKUP(AD39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39" s="242">
        <f t="shared" si="9"/>
        <v>1.25</v>
      </c>
      <c r="AG39" s="34">
        <f t="shared" si="12"/>
        <v>5</v>
      </c>
      <c r="AH39" s="177">
        <f t="shared" si="10"/>
        <v>4</v>
      </c>
      <c r="AI39" s="5">
        <f>MIDTERM!AL39</f>
        <v>4</v>
      </c>
      <c r="AJ39" s="179">
        <f t="shared" si="11"/>
        <v>0.8</v>
      </c>
      <c r="AK39" s="23">
        <f t="shared" si="13"/>
        <v>4.8</v>
      </c>
      <c r="AL39" s="119">
        <f t="shared" si="14"/>
        <v>5</v>
      </c>
      <c r="AM39" s="120" t="str">
        <f t="shared" si="15"/>
        <v>FAILED</v>
      </c>
    </row>
    <row r="40" spans="1:39" x14ac:dyDescent="0.2">
      <c r="A40" s="61">
        <f>'Class List'!A24</f>
        <v>22</v>
      </c>
      <c r="B40" s="71">
        <f>'Class List'!B24</f>
        <v>0</v>
      </c>
      <c r="C40" s="72" t="str">
        <f>'Class List'!C24</f>
        <v>,</v>
      </c>
      <c r="D40" s="72">
        <f>'Class List'!D24</f>
        <v>0</v>
      </c>
      <c r="E40" s="73">
        <f>'Class List'!E24</f>
        <v>0</v>
      </c>
      <c r="F40" s="214"/>
      <c r="G40" s="215"/>
      <c r="H40" s="215"/>
      <c r="I40" s="215"/>
      <c r="J40" s="215"/>
      <c r="K40" s="216"/>
      <c r="L40" s="217">
        <f t="shared" si="0"/>
        <v>0</v>
      </c>
      <c r="M40" s="218">
        <f t="shared" si="1"/>
        <v>0</v>
      </c>
      <c r="N40" s="219" t="str">
        <f>LOOKUP(M40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0" s="220">
        <f t="shared" si="2"/>
        <v>0.75</v>
      </c>
      <c r="P40" s="214"/>
      <c r="Q40" s="215"/>
      <c r="R40" s="215"/>
      <c r="S40" s="215"/>
      <c r="T40" s="216"/>
      <c r="U40" s="217">
        <f t="shared" si="3"/>
        <v>0</v>
      </c>
      <c r="V40" s="218">
        <f t="shared" si="4"/>
        <v>0</v>
      </c>
      <c r="W40" s="219" t="str">
        <f>LOOKUP(V40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0" s="220">
        <f t="shared" si="5"/>
        <v>1.75</v>
      </c>
      <c r="Y40" s="221"/>
      <c r="Z40" s="222">
        <f t="shared" si="6"/>
        <v>0</v>
      </c>
      <c r="AA40" s="223" t="str">
        <f>LOOKUP(Z40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0" s="224">
        <f t="shared" si="7"/>
        <v>1.25</v>
      </c>
      <c r="AC40" s="214"/>
      <c r="AD40" s="225">
        <f t="shared" si="8"/>
        <v>0</v>
      </c>
      <c r="AE40" s="219" t="str">
        <f>LOOKUP(AD40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0" s="242">
        <f t="shared" si="9"/>
        <v>1.25</v>
      </c>
      <c r="AG40" s="34">
        <f t="shared" si="12"/>
        <v>5</v>
      </c>
      <c r="AH40" s="177">
        <f t="shared" si="10"/>
        <v>4</v>
      </c>
      <c r="AI40" s="5">
        <f>MIDTERM!AL40</f>
        <v>4</v>
      </c>
      <c r="AJ40" s="179">
        <f t="shared" si="11"/>
        <v>0.8</v>
      </c>
      <c r="AK40" s="23">
        <f t="shared" si="13"/>
        <v>4.8</v>
      </c>
      <c r="AL40" s="119">
        <f t="shared" si="14"/>
        <v>5</v>
      </c>
      <c r="AM40" s="120" t="str">
        <f t="shared" si="15"/>
        <v>FAILED</v>
      </c>
    </row>
    <row r="41" spans="1:39" x14ac:dyDescent="0.2">
      <c r="A41" s="61">
        <f>'Class List'!A25</f>
        <v>23</v>
      </c>
      <c r="B41" s="71">
        <f>'Class List'!B25</f>
        <v>0</v>
      </c>
      <c r="C41" s="72" t="str">
        <f>'Class List'!C25</f>
        <v>,</v>
      </c>
      <c r="D41" s="72">
        <f>'Class List'!D25</f>
        <v>0</v>
      </c>
      <c r="E41" s="73">
        <f>'Class List'!E25</f>
        <v>0</v>
      </c>
      <c r="F41" s="214"/>
      <c r="G41" s="215"/>
      <c r="H41" s="215"/>
      <c r="I41" s="215"/>
      <c r="J41" s="215"/>
      <c r="K41" s="216"/>
      <c r="L41" s="217">
        <f t="shared" si="0"/>
        <v>0</v>
      </c>
      <c r="M41" s="218">
        <f t="shared" si="1"/>
        <v>0</v>
      </c>
      <c r="N41" s="219" t="str">
        <f>LOOKUP(M41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1" s="220">
        <f t="shared" si="2"/>
        <v>0.75</v>
      </c>
      <c r="P41" s="214"/>
      <c r="Q41" s="215"/>
      <c r="R41" s="215"/>
      <c r="S41" s="215"/>
      <c r="T41" s="216"/>
      <c r="U41" s="217">
        <f t="shared" si="3"/>
        <v>0</v>
      </c>
      <c r="V41" s="218">
        <f t="shared" si="4"/>
        <v>0</v>
      </c>
      <c r="W41" s="219" t="str">
        <f>LOOKUP(V41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1" s="220">
        <f t="shared" si="5"/>
        <v>1.75</v>
      </c>
      <c r="Y41" s="221"/>
      <c r="Z41" s="222">
        <f t="shared" si="6"/>
        <v>0</v>
      </c>
      <c r="AA41" s="223" t="str">
        <f>LOOKUP(Z41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1" s="224">
        <f t="shared" si="7"/>
        <v>1.25</v>
      </c>
      <c r="AC41" s="214"/>
      <c r="AD41" s="225">
        <f t="shared" si="8"/>
        <v>0</v>
      </c>
      <c r="AE41" s="219" t="str">
        <f>LOOKUP(AD41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1" s="242">
        <f t="shared" si="9"/>
        <v>1.25</v>
      </c>
      <c r="AG41" s="34">
        <f t="shared" si="12"/>
        <v>5</v>
      </c>
      <c r="AH41" s="177">
        <f t="shared" si="10"/>
        <v>4</v>
      </c>
      <c r="AI41" s="5">
        <f>MIDTERM!AL41</f>
        <v>4</v>
      </c>
      <c r="AJ41" s="179">
        <f t="shared" si="11"/>
        <v>0.8</v>
      </c>
      <c r="AK41" s="23">
        <f t="shared" si="13"/>
        <v>4.8</v>
      </c>
      <c r="AL41" s="119">
        <f t="shared" si="14"/>
        <v>5</v>
      </c>
      <c r="AM41" s="120" t="str">
        <f t="shared" si="15"/>
        <v>FAILED</v>
      </c>
    </row>
    <row r="42" spans="1:39" x14ac:dyDescent="0.2">
      <c r="A42" s="61">
        <f>'Class List'!A26</f>
        <v>24</v>
      </c>
      <c r="B42" s="71">
        <f>'Class List'!B26</f>
        <v>0</v>
      </c>
      <c r="C42" s="72" t="str">
        <f>'Class List'!C26</f>
        <v>,</v>
      </c>
      <c r="D42" s="72">
        <f>'Class List'!D26</f>
        <v>0</v>
      </c>
      <c r="E42" s="73">
        <f>'Class List'!E26</f>
        <v>0</v>
      </c>
      <c r="F42" s="214"/>
      <c r="G42" s="215"/>
      <c r="H42" s="215"/>
      <c r="I42" s="215"/>
      <c r="J42" s="215"/>
      <c r="K42" s="216"/>
      <c r="L42" s="217">
        <f t="shared" si="0"/>
        <v>0</v>
      </c>
      <c r="M42" s="218">
        <f t="shared" si="1"/>
        <v>0</v>
      </c>
      <c r="N42" s="219" t="str">
        <f>LOOKUP(M42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2" s="220">
        <f t="shared" si="2"/>
        <v>0.75</v>
      </c>
      <c r="P42" s="214"/>
      <c r="Q42" s="215"/>
      <c r="R42" s="215"/>
      <c r="S42" s="215"/>
      <c r="T42" s="216"/>
      <c r="U42" s="217">
        <f t="shared" si="3"/>
        <v>0</v>
      </c>
      <c r="V42" s="218">
        <f t="shared" si="4"/>
        <v>0</v>
      </c>
      <c r="W42" s="219" t="str">
        <f>LOOKUP(V42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2" s="220">
        <f t="shared" si="5"/>
        <v>1.75</v>
      </c>
      <c r="Y42" s="221"/>
      <c r="Z42" s="222">
        <f t="shared" si="6"/>
        <v>0</v>
      </c>
      <c r="AA42" s="223" t="str">
        <f>LOOKUP(Z42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2" s="224">
        <f t="shared" si="7"/>
        <v>1.25</v>
      </c>
      <c r="AC42" s="214"/>
      <c r="AD42" s="225">
        <f t="shared" si="8"/>
        <v>0</v>
      </c>
      <c r="AE42" s="219" t="str">
        <f>LOOKUP(AD42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2" s="242">
        <f t="shared" si="9"/>
        <v>1.25</v>
      </c>
      <c r="AG42" s="34">
        <f t="shared" si="12"/>
        <v>5</v>
      </c>
      <c r="AH42" s="177">
        <f t="shared" si="10"/>
        <v>4</v>
      </c>
      <c r="AI42" s="5">
        <f>MIDTERM!AL42</f>
        <v>4</v>
      </c>
      <c r="AJ42" s="179">
        <f t="shared" si="11"/>
        <v>0.8</v>
      </c>
      <c r="AK42" s="23">
        <f t="shared" si="13"/>
        <v>4.8</v>
      </c>
      <c r="AL42" s="119">
        <f t="shared" si="14"/>
        <v>5</v>
      </c>
      <c r="AM42" s="120" t="str">
        <f t="shared" si="15"/>
        <v>FAILED</v>
      </c>
    </row>
    <row r="43" spans="1:39" x14ac:dyDescent="0.2">
      <c r="A43" s="61">
        <f>'Class List'!A27</f>
        <v>25</v>
      </c>
      <c r="B43" s="71">
        <f>'Class List'!B27</f>
        <v>0</v>
      </c>
      <c r="C43" s="72" t="str">
        <f>'Class List'!C27</f>
        <v>,</v>
      </c>
      <c r="D43" s="72">
        <f>'Class List'!D27</f>
        <v>0</v>
      </c>
      <c r="E43" s="73">
        <f>'Class List'!E27</f>
        <v>0</v>
      </c>
      <c r="F43" s="214"/>
      <c r="G43" s="215"/>
      <c r="H43" s="215"/>
      <c r="I43" s="215"/>
      <c r="J43" s="215"/>
      <c r="K43" s="216"/>
      <c r="L43" s="217">
        <f t="shared" si="0"/>
        <v>0</v>
      </c>
      <c r="M43" s="218">
        <f t="shared" si="1"/>
        <v>0</v>
      </c>
      <c r="N43" s="219" t="str">
        <f>LOOKUP(M43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3" s="220">
        <f t="shared" si="2"/>
        <v>0.75</v>
      </c>
      <c r="P43" s="214"/>
      <c r="Q43" s="215"/>
      <c r="R43" s="215"/>
      <c r="S43" s="215"/>
      <c r="T43" s="216"/>
      <c r="U43" s="217">
        <f t="shared" si="3"/>
        <v>0</v>
      </c>
      <c r="V43" s="218">
        <f t="shared" si="4"/>
        <v>0</v>
      </c>
      <c r="W43" s="219" t="str">
        <f>LOOKUP(V43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3" s="220">
        <f t="shared" si="5"/>
        <v>1.75</v>
      </c>
      <c r="Y43" s="221"/>
      <c r="Z43" s="222">
        <f t="shared" si="6"/>
        <v>0</v>
      </c>
      <c r="AA43" s="223" t="str">
        <f>LOOKUP(Z43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3" s="224">
        <f t="shared" si="7"/>
        <v>1.25</v>
      </c>
      <c r="AC43" s="214"/>
      <c r="AD43" s="225">
        <f t="shared" si="8"/>
        <v>0</v>
      </c>
      <c r="AE43" s="219" t="str">
        <f>LOOKUP(AD43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3" s="242">
        <f t="shared" si="9"/>
        <v>1.25</v>
      </c>
      <c r="AG43" s="34">
        <f t="shared" si="12"/>
        <v>5</v>
      </c>
      <c r="AH43" s="177">
        <f t="shared" si="10"/>
        <v>4</v>
      </c>
      <c r="AI43" s="5">
        <f>MIDTERM!AL43</f>
        <v>4</v>
      </c>
      <c r="AJ43" s="179">
        <f t="shared" si="11"/>
        <v>0.8</v>
      </c>
      <c r="AK43" s="23">
        <f t="shared" si="13"/>
        <v>4.8</v>
      </c>
      <c r="AL43" s="119">
        <f t="shared" si="14"/>
        <v>5</v>
      </c>
      <c r="AM43" s="120" t="str">
        <f t="shared" si="15"/>
        <v>FAILED</v>
      </c>
    </row>
    <row r="44" spans="1:39" x14ac:dyDescent="0.2">
      <c r="A44" s="61">
        <f>'Class List'!A28</f>
        <v>26</v>
      </c>
      <c r="B44" s="71">
        <f>'Class List'!B28</f>
        <v>0</v>
      </c>
      <c r="C44" s="72" t="str">
        <f>'Class List'!C28</f>
        <v>,</v>
      </c>
      <c r="D44" s="72">
        <f>'Class List'!D28</f>
        <v>0</v>
      </c>
      <c r="E44" s="73">
        <f>'Class List'!E28</f>
        <v>0</v>
      </c>
      <c r="F44" s="214"/>
      <c r="G44" s="215"/>
      <c r="H44" s="215"/>
      <c r="I44" s="215"/>
      <c r="J44" s="215"/>
      <c r="K44" s="216"/>
      <c r="L44" s="217">
        <f t="shared" si="0"/>
        <v>0</v>
      </c>
      <c r="M44" s="218">
        <f t="shared" si="1"/>
        <v>0</v>
      </c>
      <c r="N44" s="219" t="str">
        <f>LOOKUP(M44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4" s="220">
        <f t="shared" si="2"/>
        <v>0.75</v>
      </c>
      <c r="P44" s="214"/>
      <c r="Q44" s="215"/>
      <c r="R44" s="215"/>
      <c r="S44" s="215"/>
      <c r="T44" s="216"/>
      <c r="U44" s="217">
        <f t="shared" si="3"/>
        <v>0</v>
      </c>
      <c r="V44" s="218">
        <f t="shared" si="4"/>
        <v>0</v>
      </c>
      <c r="W44" s="219" t="str">
        <f>LOOKUP(V44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4" s="220">
        <f t="shared" si="5"/>
        <v>1.75</v>
      </c>
      <c r="Y44" s="221"/>
      <c r="Z44" s="222">
        <f t="shared" si="6"/>
        <v>0</v>
      </c>
      <c r="AA44" s="223" t="str">
        <f>LOOKUP(Z44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4" s="224">
        <f t="shared" si="7"/>
        <v>1.25</v>
      </c>
      <c r="AC44" s="214"/>
      <c r="AD44" s="225">
        <f t="shared" si="8"/>
        <v>0</v>
      </c>
      <c r="AE44" s="219" t="str">
        <f>LOOKUP(AD44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4" s="242">
        <f t="shared" si="9"/>
        <v>1.25</v>
      </c>
      <c r="AG44" s="34">
        <f t="shared" si="12"/>
        <v>5</v>
      </c>
      <c r="AH44" s="177">
        <f t="shared" si="10"/>
        <v>4</v>
      </c>
      <c r="AI44" s="5">
        <f>MIDTERM!AL44</f>
        <v>4</v>
      </c>
      <c r="AJ44" s="179">
        <f t="shared" si="11"/>
        <v>0.8</v>
      </c>
      <c r="AK44" s="23">
        <f t="shared" si="13"/>
        <v>4.8</v>
      </c>
      <c r="AL44" s="119">
        <f t="shared" si="14"/>
        <v>5</v>
      </c>
      <c r="AM44" s="120" t="str">
        <f t="shared" si="15"/>
        <v>FAILED</v>
      </c>
    </row>
    <row r="45" spans="1:39" x14ac:dyDescent="0.2">
      <c r="A45" s="61">
        <f>'Class List'!A29</f>
        <v>27</v>
      </c>
      <c r="B45" s="71">
        <f>'Class List'!B29</f>
        <v>0</v>
      </c>
      <c r="C45" s="72" t="str">
        <f>'Class List'!C29</f>
        <v>,</v>
      </c>
      <c r="D45" s="72">
        <f>'Class List'!D29</f>
        <v>0</v>
      </c>
      <c r="E45" s="73">
        <f>'Class List'!E29</f>
        <v>0</v>
      </c>
      <c r="F45" s="214"/>
      <c r="G45" s="215"/>
      <c r="H45" s="215"/>
      <c r="I45" s="215"/>
      <c r="J45" s="215"/>
      <c r="K45" s="216"/>
      <c r="L45" s="217">
        <f t="shared" si="0"/>
        <v>0</v>
      </c>
      <c r="M45" s="218">
        <f t="shared" si="1"/>
        <v>0</v>
      </c>
      <c r="N45" s="219" t="str">
        <f>LOOKUP(M45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5" s="220">
        <f t="shared" si="2"/>
        <v>0.75</v>
      </c>
      <c r="P45" s="214"/>
      <c r="Q45" s="215"/>
      <c r="R45" s="215"/>
      <c r="S45" s="215"/>
      <c r="T45" s="216"/>
      <c r="U45" s="217">
        <f t="shared" si="3"/>
        <v>0</v>
      </c>
      <c r="V45" s="218">
        <f t="shared" si="4"/>
        <v>0</v>
      </c>
      <c r="W45" s="219" t="str">
        <f>LOOKUP(V45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5" s="220">
        <f t="shared" si="5"/>
        <v>1.75</v>
      </c>
      <c r="Y45" s="221"/>
      <c r="Z45" s="222">
        <f t="shared" si="6"/>
        <v>0</v>
      </c>
      <c r="AA45" s="223" t="str">
        <f>LOOKUP(Z45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5" s="224">
        <f t="shared" si="7"/>
        <v>1.25</v>
      </c>
      <c r="AC45" s="214"/>
      <c r="AD45" s="225">
        <f t="shared" si="8"/>
        <v>0</v>
      </c>
      <c r="AE45" s="219" t="str">
        <f>LOOKUP(AD45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5" s="242">
        <f t="shared" si="9"/>
        <v>1.25</v>
      </c>
      <c r="AG45" s="34">
        <f t="shared" si="12"/>
        <v>5</v>
      </c>
      <c r="AH45" s="177">
        <f t="shared" si="10"/>
        <v>4</v>
      </c>
      <c r="AI45" s="5">
        <f>MIDTERM!AL45</f>
        <v>4</v>
      </c>
      <c r="AJ45" s="179">
        <f t="shared" si="11"/>
        <v>0.8</v>
      </c>
      <c r="AK45" s="23">
        <f t="shared" si="13"/>
        <v>4.8</v>
      </c>
      <c r="AL45" s="119">
        <f t="shared" si="14"/>
        <v>5</v>
      </c>
      <c r="AM45" s="120" t="str">
        <f t="shared" si="15"/>
        <v>FAILED</v>
      </c>
    </row>
    <row r="46" spans="1:39" x14ac:dyDescent="0.2">
      <c r="A46" s="61">
        <f>'Class List'!A30</f>
        <v>28</v>
      </c>
      <c r="B46" s="71">
        <f>'Class List'!B30</f>
        <v>0</v>
      </c>
      <c r="C46" s="72" t="str">
        <f>'Class List'!C30</f>
        <v>,</v>
      </c>
      <c r="D46" s="72">
        <f>'Class List'!D30</f>
        <v>0</v>
      </c>
      <c r="E46" s="73">
        <f>'Class List'!E30</f>
        <v>0</v>
      </c>
      <c r="F46" s="214"/>
      <c r="G46" s="215"/>
      <c r="H46" s="215"/>
      <c r="I46" s="215"/>
      <c r="J46" s="215"/>
      <c r="K46" s="216"/>
      <c r="L46" s="217">
        <f t="shared" si="0"/>
        <v>0</v>
      </c>
      <c r="M46" s="218">
        <f t="shared" si="1"/>
        <v>0</v>
      </c>
      <c r="N46" s="219" t="str">
        <f>LOOKUP(M46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6" s="220">
        <f t="shared" si="2"/>
        <v>0.75</v>
      </c>
      <c r="P46" s="214"/>
      <c r="Q46" s="215"/>
      <c r="R46" s="215"/>
      <c r="S46" s="215"/>
      <c r="T46" s="216"/>
      <c r="U46" s="217">
        <f t="shared" si="3"/>
        <v>0</v>
      </c>
      <c r="V46" s="218">
        <f t="shared" si="4"/>
        <v>0</v>
      </c>
      <c r="W46" s="219" t="str">
        <f>LOOKUP(V46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6" s="220">
        <f t="shared" si="5"/>
        <v>1.75</v>
      </c>
      <c r="Y46" s="221"/>
      <c r="Z46" s="222">
        <f t="shared" si="6"/>
        <v>0</v>
      </c>
      <c r="AA46" s="223" t="str">
        <f>LOOKUP(Z46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6" s="224">
        <f t="shared" si="7"/>
        <v>1.25</v>
      </c>
      <c r="AC46" s="214"/>
      <c r="AD46" s="225">
        <f t="shared" si="8"/>
        <v>0</v>
      </c>
      <c r="AE46" s="219" t="str">
        <f>LOOKUP(AD46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6" s="242">
        <f t="shared" si="9"/>
        <v>1.25</v>
      </c>
      <c r="AG46" s="34">
        <f t="shared" si="12"/>
        <v>5</v>
      </c>
      <c r="AH46" s="177">
        <f t="shared" si="10"/>
        <v>4</v>
      </c>
      <c r="AI46" s="5">
        <f>MIDTERM!AL46</f>
        <v>4</v>
      </c>
      <c r="AJ46" s="179">
        <f t="shared" si="11"/>
        <v>0.8</v>
      </c>
      <c r="AK46" s="23">
        <f t="shared" si="13"/>
        <v>4.8</v>
      </c>
      <c r="AL46" s="119">
        <f t="shared" si="14"/>
        <v>5</v>
      </c>
      <c r="AM46" s="120" t="str">
        <f t="shared" si="15"/>
        <v>FAILED</v>
      </c>
    </row>
    <row r="47" spans="1:39" x14ac:dyDescent="0.2">
      <c r="A47" s="61">
        <f>'Class List'!A31</f>
        <v>29</v>
      </c>
      <c r="B47" s="71">
        <f>'Class List'!B31</f>
        <v>0</v>
      </c>
      <c r="C47" s="72" t="str">
        <f>'Class List'!C31</f>
        <v>,</v>
      </c>
      <c r="D47" s="72">
        <f>'Class List'!D31</f>
        <v>0</v>
      </c>
      <c r="E47" s="73">
        <f>'Class List'!E31</f>
        <v>0</v>
      </c>
      <c r="F47" s="214"/>
      <c r="G47" s="215"/>
      <c r="H47" s="215"/>
      <c r="I47" s="215"/>
      <c r="J47" s="215"/>
      <c r="K47" s="216"/>
      <c r="L47" s="217">
        <f t="shared" si="0"/>
        <v>0</v>
      </c>
      <c r="M47" s="218">
        <f t="shared" si="1"/>
        <v>0</v>
      </c>
      <c r="N47" s="219" t="str">
        <f>LOOKUP(M47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7" s="220">
        <f t="shared" si="2"/>
        <v>0.75</v>
      </c>
      <c r="P47" s="214"/>
      <c r="Q47" s="215"/>
      <c r="R47" s="215"/>
      <c r="S47" s="215"/>
      <c r="T47" s="216"/>
      <c r="U47" s="217">
        <f t="shared" si="3"/>
        <v>0</v>
      </c>
      <c r="V47" s="218">
        <f t="shared" si="4"/>
        <v>0</v>
      </c>
      <c r="W47" s="219" t="str">
        <f>LOOKUP(V47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7" s="220">
        <f t="shared" si="5"/>
        <v>1.75</v>
      </c>
      <c r="Y47" s="221"/>
      <c r="Z47" s="222">
        <f t="shared" si="6"/>
        <v>0</v>
      </c>
      <c r="AA47" s="223" t="str">
        <f>LOOKUP(Z47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7" s="224">
        <f t="shared" si="7"/>
        <v>1.25</v>
      </c>
      <c r="AC47" s="214"/>
      <c r="AD47" s="225">
        <f t="shared" si="8"/>
        <v>0</v>
      </c>
      <c r="AE47" s="219" t="str">
        <f>LOOKUP(AD47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7" s="242">
        <f t="shared" si="9"/>
        <v>1.25</v>
      </c>
      <c r="AG47" s="34">
        <f t="shared" si="12"/>
        <v>5</v>
      </c>
      <c r="AH47" s="177">
        <f t="shared" si="10"/>
        <v>4</v>
      </c>
      <c r="AI47" s="5">
        <f>MIDTERM!AL47</f>
        <v>4</v>
      </c>
      <c r="AJ47" s="179">
        <f t="shared" si="11"/>
        <v>0.8</v>
      </c>
      <c r="AK47" s="23">
        <f t="shared" si="13"/>
        <v>4.8</v>
      </c>
      <c r="AL47" s="119">
        <f t="shared" si="14"/>
        <v>5</v>
      </c>
      <c r="AM47" s="120" t="str">
        <f t="shared" si="15"/>
        <v>FAILED</v>
      </c>
    </row>
    <row r="48" spans="1:39" x14ac:dyDescent="0.2">
      <c r="A48" s="61">
        <f>'Class List'!A32</f>
        <v>30</v>
      </c>
      <c r="B48" s="71">
        <f>'Class List'!B32</f>
        <v>0</v>
      </c>
      <c r="C48" s="72" t="str">
        <f>'Class List'!C32</f>
        <v>,</v>
      </c>
      <c r="D48" s="72">
        <f>'Class List'!D32</f>
        <v>0</v>
      </c>
      <c r="E48" s="73">
        <f>'Class List'!E32</f>
        <v>0</v>
      </c>
      <c r="F48" s="214"/>
      <c r="G48" s="215"/>
      <c r="H48" s="215"/>
      <c r="I48" s="215"/>
      <c r="J48" s="215"/>
      <c r="K48" s="216"/>
      <c r="L48" s="217">
        <f t="shared" si="0"/>
        <v>0</v>
      </c>
      <c r="M48" s="218">
        <f t="shared" si="1"/>
        <v>0</v>
      </c>
      <c r="N48" s="219" t="str">
        <f>LOOKUP(M48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8" s="220">
        <f t="shared" si="2"/>
        <v>0.75</v>
      </c>
      <c r="P48" s="214"/>
      <c r="Q48" s="215"/>
      <c r="R48" s="215"/>
      <c r="S48" s="215"/>
      <c r="T48" s="216"/>
      <c r="U48" s="217">
        <f t="shared" si="3"/>
        <v>0</v>
      </c>
      <c r="V48" s="218">
        <f t="shared" si="4"/>
        <v>0</v>
      </c>
      <c r="W48" s="219" t="str">
        <f>LOOKUP(V48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8" s="220">
        <f t="shared" si="5"/>
        <v>1.75</v>
      </c>
      <c r="Y48" s="221"/>
      <c r="Z48" s="222">
        <f t="shared" si="6"/>
        <v>0</v>
      </c>
      <c r="AA48" s="223" t="str">
        <f>LOOKUP(Z48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8" s="224">
        <f t="shared" si="7"/>
        <v>1.25</v>
      </c>
      <c r="AC48" s="214"/>
      <c r="AD48" s="225">
        <f t="shared" si="8"/>
        <v>0</v>
      </c>
      <c r="AE48" s="219" t="str">
        <f>LOOKUP(AD48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8" s="242">
        <f t="shared" si="9"/>
        <v>1.25</v>
      </c>
      <c r="AG48" s="34">
        <f t="shared" si="12"/>
        <v>5</v>
      </c>
      <c r="AH48" s="177">
        <f t="shared" si="10"/>
        <v>4</v>
      </c>
      <c r="AI48" s="5">
        <f>MIDTERM!AL48</f>
        <v>4</v>
      </c>
      <c r="AJ48" s="179">
        <f t="shared" si="11"/>
        <v>0.8</v>
      </c>
      <c r="AK48" s="23">
        <f t="shared" si="13"/>
        <v>4.8</v>
      </c>
      <c r="AL48" s="119">
        <f t="shared" si="14"/>
        <v>5</v>
      </c>
      <c r="AM48" s="120" t="str">
        <f t="shared" si="15"/>
        <v>FAILED</v>
      </c>
    </row>
    <row r="49" spans="1:39" x14ac:dyDescent="0.2">
      <c r="A49" s="61">
        <f>'Class List'!A33</f>
        <v>31</v>
      </c>
      <c r="B49" s="71">
        <f>'Class List'!B33</f>
        <v>0</v>
      </c>
      <c r="C49" s="72" t="str">
        <f>'Class List'!C33</f>
        <v>,</v>
      </c>
      <c r="D49" s="72">
        <f>'Class List'!D33</f>
        <v>0</v>
      </c>
      <c r="E49" s="73">
        <f>'Class List'!E33</f>
        <v>0</v>
      </c>
      <c r="F49" s="214"/>
      <c r="G49" s="215"/>
      <c r="H49" s="215"/>
      <c r="I49" s="215"/>
      <c r="J49" s="215"/>
      <c r="K49" s="216"/>
      <c r="L49" s="217">
        <f t="shared" si="0"/>
        <v>0</v>
      </c>
      <c r="M49" s="218">
        <f t="shared" si="1"/>
        <v>0</v>
      </c>
      <c r="N49" s="219" t="str">
        <f>LOOKUP(M49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49" s="220">
        <f t="shared" si="2"/>
        <v>0.75</v>
      </c>
      <c r="P49" s="214"/>
      <c r="Q49" s="215"/>
      <c r="R49" s="215"/>
      <c r="S49" s="215"/>
      <c r="T49" s="216"/>
      <c r="U49" s="217">
        <f t="shared" si="3"/>
        <v>0</v>
      </c>
      <c r="V49" s="218">
        <f t="shared" si="4"/>
        <v>0</v>
      </c>
      <c r="W49" s="219" t="str">
        <f>LOOKUP(V49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49" s="220">
        <f t="shared" si="5"/>
        <v>1.75</v>
      </c>
      <c r="Y49" s="221"/>
      <c r="Z49" s="222">
        <f t="shared" si="6"/>
        <v>0</v>
      </c>
      <c r="AA49" s="223" t="str">
        <f>LOOKUP(Z49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49" s="224">
        <f t="shared" si="7"/>
        <v>1.25</v>
      </c>
      <c r="AC49" s="214"/>
      <c r="AD49" s="225">
        <f t="shared" si="8"/>
        <v>0</v>
      </c>
      <c r="AE49" s="219" t="str">
        <f>LOOKUP(AD49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49" s="242">
        <f t="shared" si="9"/>
        <v>1.25</v>
      </c>
      <c r="AG49" s="34">
        <f t="shared" si="12"/>
        <v>5</v>
      </c>
      <c r="AH49" s="177">
        <f t="shared" si="10"/>
        <v>4</v>
      </c>
      <c r="AI49" s="5">
        <f>MIDTERM!AL49</f>
        <v>4</v>
      </c>
      <c r="AJ49" s="179">
        <f t="shared" si="11"/>
        <v>0.8</v>
      </c>
      <c r="AK49" s="23">
        <f t="shared" si="13"/>
        <v>4.8</v>
      </c>
      <c r="AL49" s="119">
        <f t="shared" si="14"/>
        <v>5</v>
      </c>
      <c r="AM49" s="120" t="str">
        <f t="shared" si="15"/>
        <v>FAILED</v>
      </c>
    </row>
    <row r="50" spans="1:39" x14ac:dyDescent="0.2">
      <c r="A50" s="61">
        <f>'Class List'!A34</f>
        <v>32</v>
      </c>
      <c r="B50" s="71">
        <f>'Class List'!B34</f>
        <v>0</v>
      </c>
      <c r="C50" s="72" t="str">
        <f>'Class List'!C34</f>
        <v>,</v>
      </c>
      <c r="D50" s="72">
        <f>'Class List'!D34</f>
        <v>0</v>
      </c>
      <c r="E50" s="73">
        <f>'Class List'!E34</f>
        <v>0</v>
      </c>
      <c r="F50" s="214"/>
      <c r="G50" s="215"/>
      <c r="H50" s="215"/>
      <c r="I50" s="215"/>
      <c r="J50" s="215"/>
      <c r="K50" s="216"/>
      <c r="L50" s="217">
        <f t="shared" si="0"/>
        <v>0</v>
      </c>
      <c r="M50" s="218">
        <f t="shared" si="1"/>
        <v>0</v>
      </c>
      <c r="N50" s="219" t="str">
        <f>LOOKUP(M50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0" s="220">
        <f t="shared" si="2"/>
        <v>0.75</v>
      </c>
      <c r="P50" s="214"/>
      <c r="Q50" s="215"/>
      <c r="R50" s="215"/>
      <c r="S50" s="215"/>
      <c r="T50" s="216"/>
      <c r="U50" s="217">
        <f t="shared" si="3"/>
        <v>0</v>
      </c>
      <c r="V50" s="218">
        <f t="shared" si="4"/>
        <v>0</v>
      </c>
      <c r="W50" s="219" t="str">
        <f>LOOKUP(V50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0" s="220">
        <f t="shared" si="5"/>
        <v>1.75</v>
      </c>
      <c r="Y50" s="221"/>
      <c r="Z50" s="222">
        <f t="shared" si="6"/>
        <v>0</v>
      </c>
      <c r="AA50" s="223" t="str">
        <f>LOOKUP(Z50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0" s="224">
        <f t="shared" si="7"/>
        <v>1.25</v>
      </c>
      <c r="AC50" s="214"/>
      <c r="AD50" s="225">
        <f t="shared" si="8"/>
        <v>0</v>
      </c>
      <c r="AE50" s="219" t="str">
        <f>LOOKUP(AD50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0" s="242">
        <f t="shared" si="9"/>
        <v>1.25</v>
      </c>
      <c r="AG50" s="34">
        <f t="shared" si="12"/>
        <v>5</v>
      </c>
      <c r="AH50" s="177">
        <f t="shared" si="10"/>
        <v>4</v>
      </c>
      <c r="AI50" s="5">
        <f>MIDTERM!AL50</f>
        <v>4</v>
      </c>
      <c r="AJ50" s="179">
        <f t="shared" si="11"/>
        <v>0.8</v>
      </c>
      <c r="AK50" s="23">
        <f t="shared" si="13"/>
        <v>4.8</v>
      </c>
      <c r="AL50" s="119">
        <f t="shared" si="14"/>
        <v>5</v>
      </c>
      <c r="AM50" s="120" t="str">
        <f t="shared" si="15"/>
        <v>FAILED</v>
      </c>
    </row>
    <row r="51" spans="1:39" x14ac:dyDescent="0.2">
      <c r="A51" s="61">
        <f>'Class List'!A35</f>
        <v>33</v>
      </c>
      <c r="B51" s="71">
        <f>'Class List'!B35</f>
        <v>0</v>
      </c>
      <c r="C51" s="72" t="str">
        <f>'Class List'!C35</f>
        <v>,</v>
      </c>
      <c r="D51" s="72">
        <f>'Class List'!D35</f>
        <v>0</v>
      </c>
      <c r="E51" s="73">
        <f>'Class List'!E35</f>
        <v>0</v>
      </c>
      <c r="F51" s="214"/>
      <c r="G51" s="215"/>
      <c r="H51" s="215"/>
      <c r="I51" s="215"/>
      <c r="J51" s="215"/>
      <c r="K51" s="216"/>
      <c r="L51" s="217">
        <f t="shared" si="0"/>
        <v>0</v>
      </c>
      <c r="M51" s="218">
        <f t="shared" si="1"/>
        <v>0</v>
      </c>
      <c r="N51" s="219" t="str">
        <f>LOOKUP(M51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1" s="220">
        <f t="shared" si="2"/>
        <v>0.75</v>
      </c>
      <c r="P51" s="214"/>
      <c r="Q51" s="215"/>
      <c r="R51" s="215"/>
      <c r="S51" s="215"/>
      <c r="T51" s="216"/>
      <c r="U51" s="217">
        <f t="shared" si="3"/>
        <v>0</v>
      </c>
      <c r="V51" s="218">
        <f t="shared" si="4"/>
        <v>0</v>
      </c>
      <c r="W51" s="219" t="str">
        <f>LOOKUP(V51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1" s="220">
        <f t="shared" si="5"/>
        <v>1.75</v>
      </c>
      <c r="Y51" s="221"/>
      <c r="Z51" s="222">
        <f t="shared" si="6"/>
        <v>0</v>
      </c>
      <c r="AA51" s="223" t="str">
        <f>LOOKUP(Z51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1" s="224">
        <f t="shared" si="7"/>
        <v>1.25</v>
      </c>
      <c r="AC51" s="214"/>
      <c r="AD51" s="225">
        <f t="shared" si="8"/>
        <v>0</v>
      </c>
      <c r="AE51" s="219" t="str">
        <f>LOOKUP(AD51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1" s="242">
        <f t="shared" si="9"/>
        <v>1.25</v>
      </c>
      <c r="AG51" s="34">
        <f t="shared" si="12"/>
        <v>5</v>
      </c>
      <c r="AH51" s="177">
        <f t="shared" si="10"/>
        <v>4</v>
      </c>
      <c r="AI51" s="5">
        <f>MIDTERM!AL51</f>
        <v>4</v>
      </c>
      <c r="AJ51" s="179">
        <f t="shared" si="11"/>
        <v>0.8</v>
      </c>
      <c r="AK51" s="23">
        <f t="shared" si="13"/>
        <v>4.8</v>
      </c>
      <c r="AL51" s="119">
        <f t="shared" si="14"/>
        <v>5</v>
      </c>
      <c r="AM51" s="120" t="str">
        <f t="shared" si="15"/>
        <v>FAILED</v>
      </c>
    </row>
    <row r="52" spans="1:39" x14ac:dyDescent="0.2">
      <c r="A52" s="61">
        <f>'Class List'!A36</f>
        <v>34</v>
      </c>
      <c r="B52" s="71">
        <f>'Class List'!B36</f>
        <v>0</v>
      </c>
      <c r="C52" s="72" t="str">
        <f>'Class List'!C36</f>
        <v>,</v>
      </c>
      <c r="D52" s="72">
        <f>'Class List'!D36</f>
        <v>0</v>
      </c>
      <c r="E52" s="73">
        <f>'Class List'!E36</f>
        <v>0</v>
      </c>
      <c r="F52" s="214"/>
      <c r="G52" s="215"/>
      <c r="H52" s="215"/>
      <c r="I52" s="215"/>
      <c r="J52" s="215"/>
      <c r="K52" s="216"/>
      <c r="L52" s="217">
        <f t="shared" si="0"/>
        <v>0</v>
      </c>
      <c r="M52" s="218">
        <f t="shared" si="1"/>
        <v>0</v>
      </c>
      <c r="N52" s="219" t="str">
        <f>LOOKUP(M52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2" s="220">
        <f t="shared" si="2"/>
        <v>0.75</v>
      </c>
      <c r="P52" s="214"/>
      <c r="Q52" s="215"/>
      <c r="R52" s="215"/>
      <c r="S52" s="215"/>
      <c r="T52" s="216"/>
      <c r="U52" s="217">
        <f t="shared" si="3"/>
        <v>0</v>
      </c>
      <c r="V52" s="218">
        <f t="shared" si="4"/>
        <v>0</v>
      </c>
      <c r="W52" s="219" t="str">
        <f>LOOKUP(V52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2" s="220">
        <f t="shared" si="5"/>
        <v>1.75</v>
      </c>
      <c r="Y52" s="221"/>
      <c r="Z52" s="222">
        <f t="shared" si="6"/>
        <v>0</v>
      </c>
      <c r="AA52" s="223" t="str">
        <f>LOOKUP(Z52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2" s="224">
        <f t="shared" si="7"/>
        <v>1.25</v>
      </c>
      <c r="AC52" s="214"/>
      <c r="AD52" s="225">
        <f t="shared" si="8"/>
        <v>0</v>
      </c>
      <c r="AE52" s="219" t="str">
        <f>LOOKUP(AD52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2" s="242">
        <f t="shared" si="9"/>
        <v>1.25</v>
      </c>
      <c r="AG52" s="34">
        <f t="shared" si="12"/>
        <v>5</v>
      </c>
      <c r="AH52" s="177">
        <f t="shared" si="10"/>
        <v>4</v>
      </c>
      <c r="AI52" s="5">
        <f>MIDTERM!AL52</f>
        <v>4</v>
      </c>
      <c r="AJ52" s="179">
        <f t="shared" si="11"/>
        <v>0.8</v>
      </c>
      <c r="AK52" s="23">
        <f t="shared" si="13"/>
        <v>4.8</v>
      </c>
      <c r="AL52" s="119">
        <f t="shared" si="14"/>
        <v>5</v>
      </c>
      <c r="AM52" s="120" t="str">
        <f t="shared" si="15"/>
        <v>FAILED</v>
      </c>
    </row>
    <row r="53" spans="1:39" x14ac:dyDescent="0.2">
      <c r="A53" s="61">
        <f>'Class List'!A37</f>
        <v>35</v>
      </c>
      <c r="B53" s="71">
        <f>'Class List'!B37</f>
        <v>0</v>
      </c>
      <c r="C53" s="72" t="str">
        <f>'Class List'!C37</f>
        <v>,</v>
      </c>
      <c r="D53" s="72">
        <f>'Class List'!D37</f>
        <v>0</v>
      </c>
      <c r="E53" s="73">
        <f>'Class List'!E37</f>
        <v>0</v>
      </c>
      <c r="F53" s="214"/>
      <c r="G53" s="215"/>
      <c r="H53" s="215"/>
      <c r="I53" s="215"/>
      <c r="J53" s="215"/>
      <c r="K53" s="216"/>
      <c r="L53" s="217">
        <f t="shared" si="0"/>
        <v>0</v>
      </c>
      <c r="M53" s="218">
        <f t="shared" si="1"/>
        <v>0</v>
      </c>
      <c r="N53" s="219" t="str">
        <f>LOOKUP(M53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3" s="220">
        <f t="shared" si="2"/>
        <v>0.75</v>
      </c>
      <c r="P53" s="214"/>
      <c r="Q53" s="215"/>
      <c r="R53" s="215"/>
      <c r="S53" s="215"/>
      <c r="T53" s="216"/>
      <c r="U53" s="217">
        <f t="shared" si="3"/>
        <v>0</v>
      </c>
      <c r="V53" s="218">
        <f t="shared" si="4"/>
        <v>0</v>
      </c>
      <c r="W53" s="219" t="str">
        <f>LOOKUP(V53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3" s="220">
        <f t="shared" si="5"/>
        <v>1.75</v>
      </c>
      <c r="Y53" s="221"/>
      <c r="Z53" s="222">
        <f t="shared" si="6"/>
        <v>0</v>
      </c>
      <c r="AA53" s="223" t="str">
        <f>LOOKUP(Z53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3" s="224">
        <f t="shared" si="7"/>
        <v>1.25</v>
      </c>
      <c r="AC53" s="214"/>
      <c r="AD53" s="225">
        <f t="shared" si="8"/>
        <v>0</v>
      </c>
      <c r="AE53" s="219" t="str">
        <f>LOOKUP(AD53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3" s="242">
        <f t="shared" si="9"/>
        <v>1.25</v>
      </c>
      <c r="AG53" s="34">
        <f t="shared" si="12"/>
        <v>5</v>
      </c>
      <c r="AH53" s="177">
        <f t="shared" si="10"/>
        <v>4</v>
      </c>
      <c r="AI53" s="5">
        <f>MIDTERM!AL53</f>
        <v>4</v>
      </c>
      <c r="AJ53" s="179">
        <f t="shared" si="11"/>
        <v>0.8</v>
      </c>
      <c r="AK53" s="23">
        <f t="shared" si="13"/>
        <v>4.8</v>
      </c>
      <c r="AL53" s="119">
        <f t="shared" si="14"/>
        <v>5</v>
      </c>
      <c r="AM53" s="120" t="str">
        <f t="shared" si="15"/>
        <v>FAILED</v>
      </c>
    </row>
    <row r="54" spans="1:39" x14ac:dyDescent="0.2">
      <c r="A54" s="61">
        <f>'Class List'!A38</f>
        <v>36</v>
      </c>
      <c r="B54" s="71">
        <f>'Class List'!B38</f>
        <v>0</v>
      </c>
      <c r="C54" s="72" t="str">
        <f>'Class List'!C38</f>
        <v>,</v>
      </c>
      <c r="D54" s="72">
        <f>'Class List'!D38</f>
        <v>0</v>
      </c>
      <c r="E54" s="73">
        <f>'Class List'!E38</f>
        <v>0</v>
      </c>
      <c r="F54" s="214"/>
      <c r="G54" s="215"/>
      <c r="H54" s="215"/>
      <c r="I54" s="215"/>
      <c r="J54" s="215"/>
      <c r="K54" s="216"/>
      <c r="L54" s="217">
        <f t="shared" si="0"/>
        <v>0</v>
      </c>
      <c r="M54" s="218">
        <f t="shared" si="1"/>
        <v>0</v>
      </c>
      <c r="N54" s="219" t="str">
        <f>LOOKUP(M54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4" s="220">
        <f t="shared" si="2"/>
        <v>0.75</v>
      </c>
      <c r="P54" s="214"/>
      <c r="Q54" s="215"/>
      <c r="R54" s="215"/>
      <c r="S54" s="215"/>
      <c r="T54" s="216"/>
      <c r="U54" s="217">
        <f t="shared" si="3"/>
        <v>0</v>
      </c>
      <c r="V54" s="218">
        <f t="shared" si="4"/>
        <v>0</v>
      </c>
      <c r="W54" s="219" t="str">
        <f>LOOKUP(V54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4" s="220">
        <f t="shared" si="5"/>
        <v>1.75</v>
      </c>
      <c r="Y54" s="221"/>
      <c r="Z54" s="222">
        <f t="shared" si="6"/>
        <v>0</v>
      </c>
      <c r="AA54" s="223" t="str">
        <f>LOOKUP(Z54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4" s="224">
        <f t="shared" si="7"/>
        <v>1.25</v>
      </c>
      <c r="AC54" s="214"/>
      <c r="AD54" s="225">
        <f t="shared" si="8"/>
        <v>0</v>
      </c>
      <c r="AE54" s="219" t="str">
        <f>LOOKUP(AD54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4" s="242">
        <f t="shared" si="9"/>
        <v>1.25</v>
      </c>
      <c r="AG54" s="34">
        <f t="shared" si="12"/>
        <v>5</v>
      </c>
      <c r="AH54" s="177">
        <f t="shared" si="10"/>
        <v>4</v>
      </c>
      <c r="AI54" s="5">
        <f>MIDTERM!AL54</f>
        <v>4</v>
      </c>
      <c r="AJ54" s="179">
        <f t="shared" si="11"/>
        <v>0.8</v>
      </c>
      <c r="AK54" s="23">
        <f t="shared" si="13"/>
        <v>4.8</v>
      </c>
      <c r="AL54" s="119">
        <f t="shared" si="14"/>
        <v>5</v>
      </c>
      <c r="AM54" s="120" t="str">
        <f t="shared" si="15"/>
        <v>FAILED</v>
      </c>
    </row>
    <row r="55" spans="1:39" x14ac:dyDescent="0.2">
      <c r="A55" s="61">
        <f>'Class List'!A39</f>
        <v>37</v>
      </c>
      <c r="B55" s="71">
        <f>'Class List'!B39</f>
        <v>0</v>
      </c>
      <c r="C55" s="72" t="str">
        <f>'Class List'!C39</f>
        <v>,</v>
      </c>
      <c r="D55" s="72">
        <f>'Class List'!D39</f>
        <v>0</v>
      </c>
      <c r="E55" s="73">
        <f>'Class List'!E39</f>
        <v>0</v>
      </c>
      <c r="F55" s="214"/>
      <c r="G55" s="215"/>
      <c r="H55" s="215"/>
      <c r="I55" s="215"/>
      <c r="J55" s="215"/>
      <c r="K55" s="216"/>
      <c r="L55" s="217">
        <f t="shared" si="0"/>
        <v>0</v>
      </c>
      <c r="M55" s="218">
        <f t="shared" si="1"/>
        <v>0</v>
      </c>
      <c r="N55" s="219" t="str">
        <f>LOOKUP(M55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5" s="220">
        <f t="shared" si="2"/>
        <v>0.75</v>
      </c>
      <c r="P55" s="214"/>
      <c r="Q55" s="215"/>
      <c r="R55" s="215"/>
      <c r="S55" s="215"/>
      <c r="T55" s="216"/>
      <c r="U55" s="217">
        <f t="shared" si="3"/>
        <v>0</v>
      </c>
      <c r="V55" s="218">
        <f t="shared" si="4"/>
        <v>0</v>
      </c>
      <c r="W55" s="219" t="str">
        <f>LOOKUP(V55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5" s="220">
        <f t="shared" si="5"/>
        <v>1.75</v>
      </c>
      <c r="Y55" s="221"/>
      <c r="Z55" s="222">
        <f t="shared" si="6"/>
        <v>0</v>
      </c>
      <c r="AA55" s="223" t="str">
        <f>LOOKUP(Z55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5" s="224">
        <f t="shared" si="7"/>
        <v>1.25</v>
      </c>
      <c r="AC55" s="214"/>
      <c r="AD55" s="225">
        <f t="shared" si="8"/>
        <v>0</v>
      </c>
      <c r="AE55" s="219" t="str">
        <f>LOOKUP(AD55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5" s="242">
        <f t="shared" si="9"/>
        <v>1.25</v>
      </c>
      <c r="AG55" s="34">
        <f t="shared" si="12"/>
        <v>5</v>
      </c>
      <c r="AH55" s="177">
        <f t="shared" si="10"/>
        <v>4</v>
      </c>
      <c r="AI55" s="5">
        <f>MIDTERM!AL55</f>
        <v>4</v>
      </c>
      <c r="AJ55" s="179">
        <f t="shared" si="11"/>
        <v>0.8</v>
      </c>
      <c r="AK55" s="23">
        <f t="shared" si="13"/>
        <v>4.8</v>
      </c>
      <c r="AL55" s="119">
        <f t="shared" si="14"/>
        <v>5</v>
      </c>
      <c r="AM55" s="120" t="str">
        <f t="shared" si="15"/>
        <v>FAILED</v>
      </c>
    </row>
    <row r="56" spans="1:39" x14ac:dyDescent="0.2">
      <c r="A56" s="61">
        <f>'Class List'!A40</f>
        <v>38</v>
      </c>
      <c r="B56" s="71">
        <f>'Class List'!B40</f>
        <v>0</v>
      </c>
      <c r="C56" s="72" t="str">
        <f>'Class List'!C40</f>
        <v>,</v>
      </c>
      <c r="D56" s="72">
        <f>'Class List'!D40</f>
        <v>0</v>
      </c>
      <c r="E56" s="73">
        <f>'Class List'!E40</f>
        <v>0</v>
      </c>
      <c r="F56" s="214"/>
      <c r="G56" s="215"/>
      <c r="H56" s="215"/>
      <c r="I56" s="215"/>
      <c r="J56" s="215"/>
      <c r="K56" s="216"/>
      <c r="L56" s="217">
        <f t="shared" si="0"/>
        <v>0</v>
      </c>
      <c r="M56" s="218">
        <f t="shared" si="1"/>
        <v>0</v>
      </c>
      <c r="N56" s="219" t="str">
        <f>LOOKUP(M56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6" s="220">
        <f t="shared" si="2"/>
        <v>0.75</v>
      </c>
      <c r="P56" s="214"/>
      <c r="Q56" s="215"/>
      <c r="R56" s="215"/>
      <c r="S56" s="215"/>
      <c r="T56" s="216"/>
      <c r="U56" s="217">
        <f t="shared" si="3"/>
        <v>0</v>
      </c>
      <c r="V56" s="218">
        <f t="shared" si="4"/>
        <v>0</v>
      </c>
      <c r="W56" s="219" t="str">
        <f>LOOKUP(V56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6" s="220">
        <f t="shared" si="5"/>
        <v>1.75</v>
      </c>
      <c r="Y56" s="221"/>
      <c r="Z56" s="222">
        <f t="shared" si="6"/>
        <v>0</v>
      </c>
      <c r="AA56" s="223" t="str">
        <f>LOOKUP(Z56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6" s="224">
        <f t="shared" si="7"/>
        <v>1.25</v>
      </c>
      <c r="AC56" s="214"/>
      <c r="AD56" s="225">
        <f t="shared" si="8"/>
        <v>0</v>
      </c>
      <c r="AE56" s="219" t="str">
        <f>LOOKUP(AD56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6" s="242">
        <f t="shared" si="9"/>
        <v>1.25</v>
      </c>
      <c r="AG56" s="34">
        <f t="shared" si="12"/>
        <v>5</v>
      </c>
      <c r="AH56" s="177">
        <f t="shared" si="10"/>
        <v>4</v>
      </c>
      <c r="AI56" s="5">
        <f>MIDTERM!AL56</f>
        <v>4</v>
      </c>
      <c r="AJ56" s="179">
        <f t="shared" si="11"/>
        <v>0.8</v>
      </c>
      <c r="AK56" s="23">
        <f t="shared" si="13"/>
        <v>4.8</v>
      </c>
      <c r="AL56" s="119">
        <f t="shared" si="14"/>
        <v>5</v>
      </c>
      <c r="AM56" s="120" t="str">
        <f t="shared" si="15"/>
        <v>FAILED</v>
      </c>
    </row>
    <row r="57" spans="1:39" x14ac:dyDescent="0.2">
      <c r="A57" s="61">
        <f>'Class List'!A41</f>
        <v>39</v>
      </c>
      <c r="B57" s="71">
        <f>'Class List'!B41</f>
        <v>0</v>
      </c>
      <c r="C57" s="72" t="str">
        <f>'Class List'!C41</f>
        <v>,</v>
      </c>
      <c r="D57" s="72">
        <f>'Class List'!D41</f>
        <v>0</v>
      </c>
      <c r="E57" s="73">
        <f>'Class List'!E41</f>
        <v>0</v>
      </c>
      <c r="F57" s="214"/>
      <c r="G57" s="215"/>
      <c r="H57" s="215"/>
      <c r="I57" s="215"/>
      <c r="J57" s="215"/>
      <c r="K57" s="216"/>
      <c r="L57" s="217">
        <f t="shared" si="0"/>
        <v>0</v>
      </c>
      <c r="M57" s="218">
        <f t="shared" si="1"/>
        <v>0</v>
      </c>
      <c r="N57" s="219" t="str">
        <f>LOOKUP(M57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7" s="220">
        <f t="shared" si="2"/>
        <v>0.75</v>
      </c>
      <c r="P57" s="214"/>
      <c r="Q57" s="215"/>
      <c r="R57" s="215"/>
      <c r="S57" s="215"/>
      <c r="T57" s="216"/>
      <c r="U57" s="217">
        <f t="shared" si="3"/>
        <v>0</v>
      </c>
      <c r="V57" s="218">
        <f t="shared" si="4"/>
        <v>0</v>
      </c>
      <c r="W57" s="219" t="str">
        <f>LOOKUP(V57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7" s="220">
        <f t="shared" si="5"/>
        <v>1.75</v>
      </c>
      <c r="Y57" s="221"/>
      <c r="Z57" s="222">
        <f t="shared" si="6"/>
        <v>0</v>
      </c>
      <c r="AA57" s="223" t="str">
        <f>LOOKUP(Z57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7" s="224">
        <f t="shared" si="7"/>
        <v>1.25</v>
      </c>
      <c r="AC57" s="214"/>
      <c r="AD57" s="225">
        <f t="shared" si="8"/>
        <v>0</v>
      </c>
      <c r="AE57" s="219" t="str">
        <f>LOOKUP(AD57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7" s="242">
        <f t="shared" si="9"/>
        <v>1.25</v>
      </c>
      <c r="AG57" s="34">
        <f t="shared" si="12"/>
        <v>5</v>
      </c>
      <c r="AH57" s="177">
        <f t="shared" si="10"/>
        <v>4</v>
      </c>
      <c r="AI57" s="5">
        <f>MIDTERM!AL57</f>
        <v>4</v>
      </c>
      <c r="AJ57" s="179">
        <f t="shared" si="11"/>
        <v>0.8</v>
      </c>
      <c r="AK57" s="23">
        <f t="shared" si="13"/>
        <v>4.8</v>
      </c>
      <c r="AL57" s="119">
        <f t="shared" si="14"/>
        <v>5</v>
      </c>
      <c r="AM57" s="120" t="str">
        <f t="shared" si="15"/>
        <v>FAILED</v>
      </c>
    </row>
    <row r="58" spans="1:39" x14ac:dyDescent="0.2">
      <c r="A58" s="61">
        <f>'Class List'!A42</f>
        <v>40</v>
      </c>
      <c r="B58" s="71">
        <f>'Class List'!B42</f>
        <v>0</v>
      </c>
      <c r="C58" s="72" t="str">
        <f>'Class List'!C42</f>
        <v>,</v>
      </c>
      <c r="D58" s="72">
        <f>'Class List'!D42</f>
        <v>0</v>
      </c>
      <c r="E58" s="73">
        <f>'Class List'!E42</f>
        <v>0</v>
      </c>
      <c r="F58" s="214"/>
      <c r="G58" s="215"/>
      <c r="H58" s="215"/>
      <c r="I58" s="215"/>
      <c r="J58" s="215"/>
      <c r="K58" s="216"/>
      <c r="L58" s="217">
        <f t="shared" si="0"/>
        <v>0</v>
      </c>
      <c r="M58" s="218">
        <f t="shared" si="1"/>
        <v>0</v>
      </c>
      <c r="N58" s="219" t="str">
        <f>LOOKUP(M58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8" s="220">
        <f t="shared" si="2"/>
        <v>0.75</v>
      </c>
      <c r="P58" s="214"/>
      <c r="Q58" s="215"/>
      <c r="R58" s="215"/>
      <c r="S58" s="215"/>
      <c r="T58" s="216"/>
      <c r="U58" s="217">
        <f t="shared" si="3"/>
        <v>0</v>
      </c>
      <c r="V58" s="218">
        <f t="shared" si="4"/>
        <v>0</v>
      </c>
      <c r="W58" s="219" t="str">
        <f>LOOKUP(V58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8" s="220">
        <f t="shared" si="5"/>
        <v>1.75</v>
      </c>
      <c r="Y58" s="221"/>
      <c r="Z58" s="222">
        <f t="shared" si="6"/>
        <v>0</v>
      </c>
      <c r="AA58" s="223" t="str">
        <f>LOOKUP(Z58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8" s="224">
        <f t="shared" si="7"/>
        <v>1.25</v>
      </c>
      <c r="AC58" s="214"/>
      <c r="AD58" s="225">
        <f t="shared" si="8"/>
        <v>0</v>
      </c>
      <c r="AE58" s="219" t="str">
        <f>LOOKUP(AD58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8" s="242">
        <f t="shared" si="9"/>
        <v>1.25</v>
      </c>
      <c r="AG58" s="34">
        <f t="shared" si="12"/>
        <v>5</v>
      </c>
      <c r="AH58" s="177">
        <f t="shared" si="10"/>
        <v>4</v>
      </c>
      <c r="AI58" s="5">
        <f>MIDTERM!AL58</f>
        <v>4</v>
      </c>
      <c r="AJ58" s="179">
        <f t="shared" si="11"/>
        <v>0.8</v>
      </c>
      <c r="AK58" s="23">
        <f t="shared" si="13"/>
        <v>4.8</v>
      </c>
      <c r="AL58" s="119">
        <f t="shared" si="14"/>
        <v>5</v>
      </c>
      <c r="AM58" s="120" t="str">
        <f t="shared" si="15"/>
        <v>FAILED</v>
      </c>
    </row>
    <row r="59" spans="1:39" x14ac:dyDescent="0.2">
      <c r="A59" s="61">
        <f>'Class List'!A43</f>
        <v>41</v>
      </c>
      <c r="B59" s="71">
        <f>'Class List'!B43</f>
        <v>0</v>
      </c>
      <c r="C59" s="72" t="str">
        <f>'Class List'!C43</f>
        <v>,</v>
      </c>
      <c r="D59" s="72">
        <f>'Class List'!D43</f>
        <v>0</v>
      </c>
      <c r="E59" s="73">
        <f>'Class List'!E43</f>
        <v>0</v>
      </c>
      <c r="F59" s="214"/>
      <c r="G59" s="215"/>
      <c r="H59" s="215"/>
      <c r="I59" s="215"/>
      <c r="J59" s="215"/>
      <c r="K59" s="216"/>
      <c r="L59" s="217">
        <f t="shared" si="0"/>
        <v>0</v>
      </c>
      <c r="M59" s="218">
        <f t="shared" si="1"/>
        <v>0</v>
      </c>
      <c r="N59" s="219" t="str">
        <f>LOOKUP(M59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59" s="220">
        <f t="shared" si="2"/>
        <v>0.75</v>
      </c>
      <c r="P59" s="214"/>
      <c r="Q59" s="215"/>
      <c r="R59" s="215"/>
      <c r="S59" s="215"/>
      <c r="T59" s="216"/>
      <c r="U59" s="217">
        <f t="shared" si="3"/>
        <v>0</v>
      </c>
      <c r="V59" s="218">
        <f t="shared" si="4"/>
        <v>0</v>
      </c>
      <c r="W59" s="219" t="str">
        <f>LOOKUP(V59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59" s="220">
        <f t="shared" si="5"/>
        <v>1.75</v>
      </c>
      <c r="Y59" s="221"/>
      <c r="Z59" s="222">
        <f t="shared" si="6"/>
        <v>0</v>
      </c>
      <c r="AA59" s="223" t="str">
        <f>LOOKUP(Z59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59" s="224">
        <f t="shared" si="7"/>
        <v>1.25</v>
      </c>
      <c r="AC59" s="214"/>
      <c r="AD59" s="225">
        <f t="shared" si="8"/>
        <v>0</v>
      </c>
      <c r="AE59" s="219" t="str">
        <f>LOOKUP(AD59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59" s="242">
        <f t="shared" si="9"/>
        <v>1.25</v>
      </c>
      <c r="AG59" s="34">
        <f t="shared" si="12"/>
        <v>5</v>
      </c>
      <c r="AH59" s="177">
        <f t="shared" si="10"/>
        <v>4</v>
      </c>
      <c r="AI59" s="5">
        <f>MIDTERM!AL59</f>
        <v>4</v>
      </c>
      <c r="AJ59" s="179">
        <f t="shared" si="11"/>
        <v>0.8</v>
      </c>
      <c r="AK59" s="23">
        <f t="shared" si="13"/>
        <v>4.8</v>
      </c>
      <c r="AL59" s="119">
        <f t="shared" si="14"/>
        <v>5</v>
      </c>
      <c r="AM59" s="120" t="str">
        <f t="shared" si="15"/>
        <v>FAILED</v>
      </c>
    </row>
    <row r="60" spans="1:39" x14ac:dyDescent="0.2">
      <c r="A60" s="61">
        <f>'Class List'!A44</f>
        <v>42</v>
      </c>
      <c r="B60" s="71">
        <f>'Class List'!B44</f>
        <v>0</v>
      </c>
      <c r="C60" s="72" t="str">
        <f>'Class List'!C44</f>
        <v>,</v>
      </c>
      <c r="D60" s="72">
        <f>'Class List'!D44</f>
        <v>0</v>
      </c>
      <c r="E60" s="73">
        <f>'Class List'!E44</f>
        <v>0</v>
      </c>
      <c r="F60" s="214"/>
      <c r="G60" s="215"/>
      <c r="H60" s="215"/>
      <c r="I60" s="215"/>
      <c r="J60" s="215"/>
      <c r="K60" s="216"/>
      <c r="L60" s="217">
        <f t="shared" si="0"/>
        <v>0</v>
      </c>
      <c r="M60" s="218">
        <f t="shared" si="1"/>
        <v>0</v>
      </c>
      <c r="N60" s="219" t="str">
        <f>LOOKUP(M60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0" s="220">
        <f t="shared" si="2"/>
        <v>0.75</v>
      </c>
      <c r="P60" s="214"/>
      <c r="Q60" s="215"/>
      <c r="R60" s="215"/>
      <c r="S60" s="215"/>
      <c r="T60" s="216"/>
      <c r="U60" s="217">
        <f t="shared" si="3"/>
        <v>0</v>
      </c>
      <c r="V60" s="218">
        <f t="shared" si="4"/>
        <v>0</v>
      </c>
      <c r="W60" s="219" t="str">
        <f>LOOKUP(V60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0" s="220">
        <f t="shared" si="5"/>
        <v>1.75</v>
      </c>
      <c r="Y60" s="221"/>
      <c r="Z60" s="222">
        <f t="shared" si="6"/>
        <v>0</v>
      </c>
      <c r="AA60" s="223" t="str">
        <f>LOOKUP(Z60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0" s="224">
        <f t="shared" si="7"/>
        <v>1.25</v>
      </c>
      <c r="AC60" s="214"/>
      <c r="AD60" s="225">
        <f t="shared" si="8"/>
        <v>0</v>
      </c>
      <c r="AE60" s="219" t="str">
        <f>LOOKUP(AD60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0" s="242">
        <f t="shared" si="9"/>
        <v>1.25</v>
      </c>
      <c r="AG60" s="34">
        <f t="shared" si="12"/>
        <v>5</v>
      </c>
      <c r="AH60" s="177">
        <f t="shared" si="10"/>
        <v>4</v>
      </c>
      <c r="AI60" s="5">
        <f>MIDTERM!AL60</f>
        <v>4</v>
      </c>
      <c r="AJ60" s="179">
        <f t="shared" si="11"/>
        <v>0.8</v>
      </c>
      <c r="AK60" s="23">
        <f t="shared" si="13"/>
        <v>4.8</v>
      </c>
      <c r="AL60" s="119">
        <f t="shared" si="14"/>
        <v>5</v>
      </c>
      <c r="AM60" s="120" t="str">
        <f t="shared" si="15"/>
        <v>FAILED</v>
      </c>
    </row>
    <row r="61" spans="1:39" x14ac:dyDescent="0.2">
      <c r="A61" s="61">
        <f>'Class List'!A45</f>
        <v>43</v>
      </c>
      <c r="B61" s="71">
        <f>'Class List'!B45</f>
        <v>0</v>
      </c>
      <c r="C61" s="72" t="str">
        <f>'Class List'!C45</f>
        <v>,</v>
      </c>
      <c r="D61" s="72">
        <f>'Class List'!D45</f>
        <v>0</v>
      </c>
      <c r="E61" s="73">
        <f>'Class List'!E45</f>
        <v>0</v>
      </c>
      <c r="F61" s="214"/>
      <c r="G61" s="215"/>
      <c r="H61" s="215"/>
      <c r="I61" s="215"/>
      <c r="J61" s="215"/>
      <c r="K61" s="216"/>
      <c r="L61" s="217">
        <f t="shared" si="0"/>
        <v>0</v>
      </c>
      <c r="M61" s="218">
        <f t="shared" si="1"/>
        <v>0</v>
      </c>
      <c r="N61" s="219" t="str">
        <f>LOOKUP(M61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1" s="220">
        <f t="shared" si="2"/>
        <v>0.75</v>
      </c>
      <c r="P61" s="214"/>
      <c r="Q61" s="215"/>
      <c r="R61" s="215"/>
      <c r="S61" s="215"/>
      <c r="T61" s="216"/>
      <c r="U61" s="217">
        <f t="shared" si="3"/>
        <v>0</v>
      </c>
      <c r="V61" s="218">
        <f t="shared" si="4"/>
        <v>0</v>
      </c>
      <c r="W61" s="219" t="str">
        <f>LOOKUP(V61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1" s="220">
        <f t="shared" si="5"/>
        <v>1.75</v>
      </c>
      <c r="Y61" s="221"/>
      <c r="Z61" s="222">
        <f t="shared" si="6"/>
        <v>0</v>
      </c>
      <c r="AA61" s="223" t="str">
        <f>LOOKUP(Z61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1" s="224">
        <f t="shared" si="7"/>
        <v>1.25</v>
      </c>
      <c r="AC61" s="214"/>
      <c r="AD61" s="225">
        <f t="shared" si="8"/>
        <v>0</v>
      </c>
      <c r="AE61" s="219" t="str">
        <f>LOOKUP(AD61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1" s="242">
        <f t="shared" si="9"/>
        <v>1.25</v>
      </c>
      <c r="AG61" s="34">
        <f t="shared" si="12"/>
        <v>5</v>
      </c>
      <c r="AH61" s="177">
        <f t="shared" si="10"/>
        <v>4</v>
      </c>
      <c r="AI61" s="5">
        <f>MIDTERM!AL61</f>
        <v>4</v>
      </c>
      <c r="AJ61" s="179">
        <f t="shared" si="11"/>
        <v>0.8</v>
      </c>
      <c r="AK61" s="23">
        <f t="shared" si="13"/>
        <v>4.8</v>
      </c>
      <c r="AL61" s="119">
        <f t="shared" si="14"/>
        <v>5</v>
      </c>
      <c r="AM61" s="120" t="str">
        <f t="shared" si="15"/>
        <v>FAILED</v>
      </c>
    </row>
    <row r="62" spans="1:39" x14ac:dyDescent="0.2">
      <c r="A62" s="61">
        <f>'Class List'!A46</f>
        <v>44</v>
      </c>
      <c r="B62" s="71">
        <f>'Class List'!B46</f>
        <v>0</v>
      </c>
      <c r="C62" s="72" t="str">
        <f>'Class List'!C46</f>
        <v>,</v>
      </c>
      <c r="D62" s="72">
        <f>'Class List'!D46</f>
        <v>0</v>
      </c>
      <c r="E62" s="73">
        <f>'Class List'!E46</f>
        <v>0</v>
      </c>
      <c r="F62" s="214"/>
      <c r="G62" s="215"/>
      <c r="H62" s="215"/>
      <c r="I62" s="215"/>
      <c r="J62" s="215"/>
      <c r="K62" s="216"/>
      <c r="L62" s="217">
        <f t="shared" si="0"/>
        <v>0</v>
      </c>
      <c r="M62" s="218">
        <f t="shared" si="1"/>
        <v>0</v>
      </c>
      <c r="N62" s="219" t="str">
        <f>LOOKUP(M62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2" s="220">
        <f t="shared" si="2"/>
        <v>0.75</v>
      </c>
      <c r="P62" s="214"/>
      <c r="Q62" s="215"/>
      <c r="R62" s="215"/>
      <c r="S62" s="215"/>
      <c r="T62" s="216"/>
      <c r="U62" s="217">
        <f t="shared" si="3"/>
        <v>0</v>
      </c>
      <c r="V62" s="218">
        <f t="shared" si="4"/>
        <v>0</v>
      </c>
      <c r="W62" s="219" t="str">
        <f>LOOKUP(V62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2" s="220">
        <f t="shared" si="5"/>
        <v>1.75</v>
      </c>
      <c r="Y62" s="221"/>
      <c r="Z62" s="222">
        <f t="shared" si="6"/>
        <v>0</v>
      </c>
      <c r="AA62" s="223" t="str">
        <f>LOOKUP(Z62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2" s="224">
        <f t="shared" si="7"/>
        <v>1.25</v>
      </c>
      <c r="AC62" s="214"/>
      <c r="AD62" s="225">
        <f t="shared" si="8"/>
        <v>0</v>
      </c>
      <c r="AE62" s="219" t="str">
        <f>LOOKUP(AD62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2" s="242">
        <f t="shared" si="9"/>
        <v>1.25</v>
      </c>
      <c r="AG62" s="34">
        <f t="shared" si="12"/>
        <v>5</v>
      </c>
      <c r="AH62" s="177">
        <f t="shared" si="10"/>
        <v>4</v>
      </c>
      <c r="AI62" s="5">
        <f>MIDTERM!AL62</f>
        <v>4</v>
      </c>
      <c r="AJ62" s="179">
        <f t="shared" si="11"/>
        <v>0.8</v>
      </c>
      <c r="AK62" s="23">
        <f t="shared" si="13"/>
        <v>4.8</v>
      </c>
      <c r="AL62" s="119">
        <f t="shared" si="14"/>
        <v>5</v>
      </c>
      <c r="AM62" s="120" t="str">
        <f t="shared" si="15"/>
        <v>FAILED</v>
      </c>
    </row>
    <row r="63" spans="1:39" x14ac:dyDescent="0.2">
      <c r="A63" s="61">
        <f>'Class List'!A47</f>
        <v>45</v>
      </c>
      <c r="B63" s="71">
        <f>'Class List'!B47</f>
        <v>0</v>
      </c>
      <c r="C63" s="72" t="str">
        <f>'Class List'!C47</f>
        <v>,</v>
      </c>
      <c r="D63" s="72">
        <f>'Class List'!D47</f>
        <v>0</v>
      </c>
      <c r="E63" s="73">
        <f>'Class List'!E47</f>
        <v>0</v>
      </c>
      <c r="F63" s="214"/>
      <c r="G63" s="215"/>
      <c r="H63" s="215"/>
      <c r="I63" s="215"/>
      <c r="J63" s="215"/>
      <c r="K63" s="216"/>
      <c r="L63" s="217">
        <f t="shared" si="0"/>
        <v>0</v>
      </c>
      <c r="M63" s="218">
        <f t="shared" si="1"/>
        <v>0</v>
      </c>
      <c r="N63" s="219" t="str">
        <f>LOOKUP(M63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3" s="220">
        <f t="shared" si="2"/>
        <v>0.75</v>
      </c>
      <c r="P63" s="214"/>
      <c r="Q63" s="215"/>
      <c r="R63" s="215"/>
      <c r="S63" s="215"/>
      <c r="T63" s="216"/>
      <c r="U63" s="217">
        <f t="shared" si="3"/>
        <v>0</v>
      </c>
      <c r="V63" s="218">
        <f t="shared" si="4"/>
        <v>0</v>
      </c>
      <c r="W63" s="219" t="str">
        <f>LOOKUP(V63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3" s="220">
        <f t="shared" si="5"/>
        <v>1.75</v>
      </c>
      <c r="Y63" s="221"/>
      <c r="Z63" s="222">
        <f t="shared" si="6"/>
        <v>0</v>
      </c>
      <c r="AA63" s="223" t="str">
        <f>LOOKUP(Z63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3" s="224">
        <f t="shared" si="7"/>
        <v>1.25</v>
      </c>
      <c r="AC63" s="214"/>
      <c r="AD63" s="225">
        <f t="shared" si="8"/>
        <v>0</v>
      </c>
      <c r="AE63" s="219" t="str">
        <f>LOOKUP(AD63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3" s="242">
        <f t="shared" si="9"/>
        <v>1.25</v>
      </c>
      <c r="AG63" s="34">
        <f t="shared" si="12"/>
        <v>5</v>
      </c>
      <c r="AH63" s="177">
        <f t="shared" si="10"/>
        <v>4</v>
      </c>
      <c r="AI63" s="5">
        <f>MIDTERM!AL63</f>
        <v>4</v>
      </c>
      <c r="AJ63" s="179">
        <f t="shared" si="11"/>
        <v>0.8</v>
      </c>
      <c r="AK63" s="23">
        <f t="shared" si="13"/>
        <v>4.8</v>
      </c>
      <c r="AL63" s="119">
        <f t="shared" si="14"/>
        <v>5</v>
      </c>
      <c r="AM63" s="120" t="str">
        <f t="shared" si="15"/>
        <v>FAILED</v>
      </c>
    </row>
    <row r="64" spans="1:39" x14ac:dyDescent="0.2">
      <c r="A64" s="61">
        <f>'Class List'!A48</f>
        <v>46</v>
      </c>
      <c r="B64" s="71">
        <f>'Class List'!B48</f>
        <v>0</v>
      </c>
      <c r="C64" s="72" t="str">
        <f>'Class List'!C48</f>
        <v>,</v>
      </c>
      <c r="D64" s="72">
        <f>'Class List'!D48</f>
        <v>0</v>
      </c>
      <c r="E64" s="73">
        <f>'Class List'!E48</f>
        <v>0</v>
      </c>
      <c r="F64" s="214"/>
      <c r="G64" s="215"/>
      <c r="H64" s="215"/>
      <c r="I64" s="215"/>
      <c r="J64" s="215"/>
      <c r="K64" s="216"/>
      <c r="L64" s="217">
        <f t="shared" si="0"/>
        <v>0</v>
      </c>
      <c r="M64" s="218">
        <f t="shared" si="1"/>
        <v>0</v>
      </c>
      <c r="N64" s="219" t="str">
        <f>LOOKUP(M64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4" s="220">
        <f t="shared" si="2"/>
        <v>0.75</v>
      </c>
      <c r="P64" s="214"/>
      <c r="Q64" s="215"/>
      <c r="R64" s="215"/>
      <c r="S64" s="215"/>
      <c r="T64" s="216"/>
      <c r="U64" s="217">
        <f t="shared" si="3"/>
        <v>0</v>
      </c>
      <c r="V64" s="218">
        <f t="shared" si="4"/>
        <v>0</v>
      </c>
      <c r="W64" s="219" t="str">
        <f>LOOKUP(V64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4" s="220">
        <f t="shared" si="5"/>
        <v>1.75</v>
      </c>
      <c r="Y64" s="221"/>
      <c r="Z64" s="222">
        <f t="shared" si="6"/>
        <v>0</v>
      </c>
      <c r="AA64" s="223" t="str">
        <f>LOOKUP(Z64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4" s="224">
        <f t="shared" si="7"/>
        <v>1.25</v>
      </c>
      <c r="AC64" s="214"/>
      <c r="AD64" s="225">
        <f t="shared" si="8"/>
        <v>0</v>
      </c>
      <c r="AE64" s="219" t="str">
        <f>LOOKUP(AD64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4" s="242">
        <f t="shared" si="9"/>
        <v>1.25</v>
      </c>
      <c r="AG64" s="34">
        <f t="shared" si="12"/>
        <v>5</v>
      </c>
      <c r="AH64" s="177">
        <f t="shared" si="10"/>
        <v>4</v>
      </c>
      <c r="AI64" s="5">
        <f>MIDTERM!AL64</f>
        <v>4</v>
      </c>
      <c r="AJ64" s="179">
        <f t="shared" si="11"/>
        <v>0.8</v>
      </c>
      <c r="AK64" s="23">
        <f t="shared" si="13"/>
        <v>4.8</v>
      </c>
      <c r="AL64" s="119">
        <f t="shared" si="14"/>
        <v>5</v>
      </c>
      <c r="AM64" s="120" t="str">
        <f t="shared" si="15"/>
        <v>FAILED</v>
      </c>
    </row>
    <row r="65" spans="1:39" x14ac:dyDescent="0.2">
      <c r="A65" s="61">
        <f>'Class List'!A49</f>
        <v>47</v>
      </c>
      <c r="B65" s="71">
        <f>'Class List'!B49</f>
        <v>0</v>
      </c>
      <c r="C65" s="72" t="str">
        <f>'Class List'!C49</f>
        <v>,</v>
      </c>
      <c r="D65" s="72">
        <f>'Class List'!D49</f>
        <v>0</v>
      </c>
      <c r="E65" s="73">
        <f>'Class List'!E49</f>
        <v>0</v>
      </c>
      <c r="F65" s="214"/>
      <c r="G65" s="215"/>
      <c r="H65" s="215"/>
      <c r="I65" s="215"/>
      <c r="J65" s="215"/>
      <c r="K65" s="216"/>
      <c r="L65" s="217">
        <f t="shared" si="0"/>
        <v>0</v>
      </c>
      <c r="M65" s="218">
        <f t="shared" si="1"/>
        <v>0</v>
      </c>
      <c r="N65" s="219" t="str">
        <f>LOOKUP(M65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5" s="220">
        <f t="shared" si="2"/>
        <v>0.75</v>
      </c>
      <c r="P65" s="214"/>
      <c r="Q65" s="215"/>
      <c r="R65" s="215"/>
      <c r="S65" s="215"/>
      <c r="T65" s="216"/>
      <c r="U65" s="217">
        <f t="shared" si="3"/>
        <v>0</v>
      </c>
      <c r="V65" s="218">
        <f t="shared" si="4"/>
        <v>0</v>
      </c>
      <c r="W65" s="219" t="str">
        <f>LOOKUP(V65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5" s="220">
        <f t="shared" si="5"/>
        <v>1.75</v>
      </c>
      <c r="Y65" s="221"/>
      <c r="Z65" s="222">
        <f t="shared" si="6"/>
        <v>0</v>
      </c>
      <c r="AA65" s="223" t="str">
        <f>LOOKUP(Z65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5" s="224">
        <f t="shared" si="7"/>
        <v>1.25</v>
      </c>
      <c r="AC65" s="214"/>
      <c r="AD65" s="225">
        <f t="shared" si="8"/>
        <v>0</v>
      </c>
      <c r="AE65" s="219" t="str">
        <f>LOOKUP(AD65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5" s="242">
        <f t="shared" si="9"/>
        <v>1.25</v>
      </c>
      <c r="AG65" s="34">
        <f t="shared" si="12"/>
        <v>5</v>
      </c>
      <c r="AH65" s="177">
        <f t="shared" si="10"/>
        <v>4</v>
      </c>
      <c r="AI65" s="5">
        <f>MIDTERM!AL65</f>
        <v>4</v>
      </c>
      <c r="AJ65" s="179">
        <f t="shared" si="11"/>
        <v>0.8</v>
      </c>
      <c r="AK65" s="23">
        <f t="shared" si="13"/>
        <v>4.8</v>
      </c>
      <c r="AL65" s="119">
        <f t="shared" si="14"/>
        <v>5</v>
      </c>
      <c r="AM65" s="120" t="str">
        <f t="shared" si="15"/>
        <v>FAILED</v>
      </c>
    </row>
    <row r="66" spans="1:39" x14ac:dyDescent="0.2">
      <c r="A66" s="61">
        <f>'Class List'!A50</f>
        <v>48</v>
      </c>
      <c r="B66" s="71">
        <f>'Class List'!B50</f>
        <v>0</v>
      </c>
      <c r="C66" s="72" t="str">
        <f>'Class List'!C50</f>
        <v>,</v>
      </c>
      <c r="D66" s="72">
        <f>'Class List'!D50</f>
        <v>0</v>
      </c>
      <c r="E66" s="73">
        <f>'Class List'!E50</f>
        <v>0</v>
      </c>
      <c r="F66" s="214"/>
      <c r="G66" s="215"/>
      <c r="H66" s="215"/>
      <c r="I66" s="215"/>
      <c r="J66" s="215"/>
      <c r="K66" s="216"/>
      <c r="L66" s="217">
        <f t="shared" si="0"/>
        <v>0</v>
      </c>
      <c r="M66" s="218">
        <f t="shared" si="1"/>
        <v>0</v>
      </c>
      <c r="N66" s="219" t="str">
        <f>LOOKUP(M66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6" s="220">
        <f t="shared" si="2"/>
        <v>0.75</v>
      </c>
      <c r="P66" s="214"/>
      <c r="Q66" s="215"/>
      <c r="R66" s="215"/>
      <c r="S66" s="215"/>
      <c r="T66" s="216"/>
      <c r="U66" s="217">
        <f t="shared" si="3"/>
        <v>0</v>
      </c>
      <c r="V66" s="218">
        <f t="shared" si="4"/>
        <v>0</v>
      </c>
      <c r="W66" s="219" t="str">
        <f>LOOKUP(V66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6" s="220">
        <f t="shared" si="5"/>
        <v>1.75</v>
      </c>
      <c r="Y66" s="221"/>
      <c r="Z66" s="222">
        <f t="shared" si="6"/>
        <v>0</v>
      </c>
      <c r="AA66" s="223" t="str">
        <f>LOOKUP(Z66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6" s="224">
        <f t="shared" si="7"/>
        <v>1.25</v>
      </c>
      <c r="AC66" s="214"/>
      <c r="AD66" s="225">
        <f t="shared" si="8"/>
        <v>0</v>
      </c>
      <c r="AE66" s="219" t="str">
        <f>LOOKUP(AD66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6" s="242">
        <f t="shared" si="9"/>
        <v>1.25</v>
      </c>
      <c r="AG66" s="34">
        <f t="shared" si="12"/>
        <v>5</v>
      </c>
      <c r="AH66" s="177">
        <f t="shared" si="10"/>
        <v>4</v>
      </c>
      <c r="AI66" s="5">
        <f>MIDTERM!AL66</f>
        <v>4</v>
      </c>
      <c r="AJ66" s="179">
        <f t="shared" si="11"/>
        <v>0.8</v>
      </c>
      <c r="AK66" s="23">
        <f t="shared" si="13"/>
        <v>4.8</v>
      </c>
      <c r="AL66" s="119">
        <f t="shared" si="14"/>
        <v>5</v>
      </c>
      <c r="AM66" s="120" t="str">
        <f t="shared" si="15"/>
        <v>FAILED</v>
      </c>
    </row>
    <row r="67" spans="1:39" x14ac:dyDescent="0.2">
      <c r="A67" s="61">
        <f>'Class List'!A51</f>
        <v>49</v>
      </c>
      <c r="B67" s="71">
        <f>'Class List'!B51</f>
        <v>0</v>
      </c>
      <c r="C67" s="72" t="str">
        <f>'Class List'!C51</f>
        <v>,</v>
      </c>
      <c r="D67" s="72">
        <f>'Class List'!D51</f>
        <v>0</v>
      </c>
      <c r="E67" s="73">
        <f>'Class List'!E51</f>
        <v>0</v>
      </c>
      <c r="F67" s="214"/>
      <c r="G67" s="215"/>
      <c r="H67" s="215"/>
      <c r="I67" s="215"/>
      <c r="J67" s="215"/>
      <c r="K67" s="216"/>
      <c r="L67" s="217">
        <f t="shared" si="0"/>
        <v>0</v>
      </c>
      <c r="M67" s="218">
        <f t="shared" si="1"/>
        <v>0</v>
      </c>
      <c r="N67" s="219" t="str">
        <f>LOOKUP(M67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7" s="220">
        <f t="shared" si="2"/>
        <v>0.75</v>
      </c>
      <c r="P67" s="214"/>
      <c r="Q67" s="215"/>
      <c r="R67" s="215"/>
      <c r="S67" s="215"/>
      <c r="T67" s="216"/>
      <c r="U67" s="217">
        <f t="shared" si="3"/>
        <v>0</v>
      </c>
      <c r="V67" s="218">
        <f t="shared" si="4"/>
        <v>0</v>
      </c>
      <c r="W67" s="219" t="str">
        <f>LOOKUP(V67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7" s="220">
        <f t="shared" si="5"/>
        <v>1.75</v>
      </c>
      <c r="Y67" s="221"/>
      <c r="Z67" s="222">
        <f t="shared" si="6"/>
        <v>0</v>
      </c>
      <c r="AA67" s="223" t="str">
        <f>LOOKUP(Z67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7" s="224">
        <f t="shared" si="7"/>
        <v>1.25</v>
      </c>
      <c r="AC67" s="214"/>
      <c r="AD67" s="225">
        <f t="shared" si="8"/>
        <v>0</v>
      </c>
      <c r="AE67" s="219" t="str">
        <f>LOOKUP(AD67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7" s="242">
        <f t="shared" si="9"/>
        <v>1.25</v>
      </c>
      <c r="AG67" s="34">
        <f t="shared" si="12"/>
        <v>5</v>
      </c>
      <c r="AH67" s="177">
        <f t="shared" si="10"/>
        <v>4</v>
      </c>
      <c r="AI67" s="5">
        <f>MIDTERM!AL67</f>
        <v>4</v>
      </c>
      <c r="AJ67" s="179">
        <f t="shared" si="11"/>
        <v>0.8</v>
      </c>
      <c r="AK67" s="23">
        <f t="shared" si="13"/>
        <v>4.8</v>
      </c>
      <c r="AL67" s="119">
        <f t="shared" si="14"/>
        <v>5</v>
      </c>
      <c r="AM67" s="120" t="str">
        <f t="shared" si="15"/>
        <v>FAILED</v>
      </c>
    </row>
    <row r="68" spans="1:39" x14ac:dyDescent="0.2">
      <c r="A68" s="61">
        <f>'Class List'!A52</f>
        <v>50</v>
      </c>
      <c r="B68" s="71">
        <f>'Class List'!B52</f>
        <v>0</v>
      </c>
      <c r="C68" s="72" t="str">
        <f>'Class List'!C52</f>
        <v>,</v>
      </c>
      <c r="D68" s="72">
        <f>'Class List'!D52</f>
        <v>0</v>
      </c>
      <c r="E68" s="73">
        <f>'Class List'!E52</f>
        <v>0</v>
      </c>
      <c r="F68" s="214"/>
      <c r="G68" s="215"/>
      <c r="H68" s="215"/>
      <c r="I68" s="215"/>
      <c r="J68" s="215"/>
      <c r="K68" s="216"/>
      <c r="L68" s="217">
        <f t="shared" si="0"/>
        <v>0</v>
      </c>
      <c r="M68" s="218">
        <f t="shared" si="1"/>
        <v>0</v>
      </c>
      <c r="N68" s="219" t="str">
        <f>LOOKUP(M68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8" s="220">
        <f t="shared" si="2"/>
        <v>0.75</v>
      </c>
      <c r="P68" s="214"/>
      <c r="Q68" s="215"/>
      <c r="R68" s="215"/>
      <c r="S68" s="215"/>
      <c r="T68" s="216"/>
      <c r="U68" s="217">
        <f t="shared" si="3"/>
        <v>0</v>
      </c>
      <c r="V68" s="218">
        <f t="shared" si="4"/>
        <v>0</v>
      </c>
      <c r="W68" s="219" t="str">
        <f>LOOKUP(V68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8" s="220">
        <f t="shared" si="5"/>
        <v>1.75</v>
      </c>
      <c r="Y68" s="221"/>
      <c r="Z68" s="222">
        <f t="shared" si="6"/>
        <v>0</v>
      </c>
      <c r="AA68" s="223" t="str">
        <f>LOOKUP(Z68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8" s="224">
        <f t="shared" si="7"/>
        <v>1.25</v>
      </c>
      <c r="AC68" s="214"/>
      <c r="AD68" s="225">
        <f t="shared" si="8"/>
        <v>0</v>
      </c>
      <c r="AE68" s="219" t="str">
        <f>LOOKUP(AD68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8" s="242">
        <f t="shared" si="9"/>
        <v>1.25</v>
      </c>
      <c r="AG68" s="34">
        <f t="shared" si="12"/>
        <v>5</v>
      </c>
      <c r="AH68" s="177">
        <f t="shared" si="10"/>
        <v>4</v>
      </c>
      <c r="AI68" s="5">
        <f>MIDTERM!AL68</f>
        <v>4</v>
      </c>
      <c r="AJ68" s="179">
        <f t="shared" si="11"/>
        <v>0.8</v>
      </c>
      <c r="AK68" s="23">
        <f t="shared" si="13"/>
        <v>4.8</v>
      </c>
      <c r="AL68" s="119">
        <f t="shared" si="14"/>
        <v>5</v>
      </c>
      <c r="AM68" s="120" t="str">
        <f t="shared" si="15"/>
        <v>FAILED</v>
      </c>
    </row>
    <row r="69" spans="1:39" x14ac:dyDescent="0.2">
      <c r="A69" s="61">
        <f>'Class List'!A53</f>
        <v>51</v>
      </c>
      <c r="B69" s="71">
        <f>'Class List'!B53</f>
        <v>0</v>
      </c>
      <c r="C69" s="72" t="str">
        <f>'Class List'!C53</f>
        <v>,</v>
      </c>
      <c r="D69" s="72">
        <f>'Class List'!D53</f>
        <v>0</v>
      </c>
      <c r="E69" s="73">
        <f>'Class List'!E53</f>
        <v>0</v>
      </c>
      <c r="F69" s="214"/>
      <c r="G69" s="215"/>
      <c r="H69" s="215"/>
      <c r="I69" s="215"/>
      <c r="J69" s="215"/>
      <c r="K69" s="216"/>
      <c r="L69" s="217">
        <f t="shared" si="0"/>
        <v>0</v>
      </c>
      <c r="M69" s="218">
        <f t="shared" si="1"/>
        <v>0</v>
      </c>
      <c r="N69" s="219" t="str">
        <f>LOOKUP(M69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69" s="220">
        <f t="shared" si="2"/>
        <v>0.75</v>
      </c>
      <c r="P69" s="214"/>
      <c r="Q69" s="215"/>
      <c r="R69" s="215"/>
      <c r="S69" s="215"/>
      <c r="T69" s="216"/>
      <c r="U69" s="217">
        <f t="shared" si="3"/>
        <v>0</v>
      </c>
      <c r="V69" s="218">
        <f t="shared" si="4"/>
        <v>0</v>
      </c>
      <c r="W69" s="219" t="str">
        <f>LOOKUP(V69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69" s="220">
        <f t="shared" si="5"/>
        <v>1.75</v>
      </c>
      <c r="Y69" s="221"/>
      <c r="Z69" s="222">
        <f t="shared" si="6"/>
        <v>0</v>
      </c>
      <c r="AA69" s="223" t="str">
        <f>LOOKUP(Z69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69" s="224">
        <f t="shared" si="7"/>
        <v>1.25</v>
      </c>
      <c r="AC69" s="214"/>
      <c r="AD69" s="225">
        <f t="shared" si="8"/>
        <v>0</v>
      </c>
      <c r="AE69" s="219" t="str">
        <f>LOOKUP(AD69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69" s="242">
        <f t="shared" si="9"/>
        <v>1.25</v>
      </c>
      <c r="AG69" s="34">
        <f t="shared" si="12"/>
        <v>5</v>
      </c>
      <c r="AH69" s="177">
        <f t="shared" si="10"/>
        <v>4</v>
      </c>
      <c r="AI69" s="5">
        <f>MIDTERM!AL69</f>
        <v>4</v>
      </c>
      <c r="AJ69" s="179">
        <f t="shared" si="11"/>
        <v>0.8</v>
      </c>
      <c r="AK69" s="23">
        <f t="shared" si="13"/>
        <v>4.8</v>
      </c>
      <c r="AL69" s="119">
        <f t="shared" si="14"/>
        <v>5</v>
      </c>
      <c r="AM69" s="120" t="str">
        <f t="shared" si="15"/>
        <v>FAILED</v>
      </c>
    </row>
    <row r="70" spans="1:39" x14ac:dyDescent="0.2">
      <c r="A70" s="61">
        <f>'Class List'!A54</f>
        <v>52</v>
      </c>
      <c r="B70" s="71">
        <f>'Class List'!B54</f>
        <v>0</v>
      </c>
      <c r="C70" s="72" t="str">
        <f>'Class List'!C54</f>
        <v>,</v>
      </c>
      <c r="D70" s="72">
        <f>'Class List'!D54</f>
        <v>0</v>
      </c>
      <c r="E70" s="73">
        <f>'Class List'!E54</f>
        <v>0</v>
      </c>
      <c r="F70" s="214"/>
      <c r="G70" s="215"/>
      <c r="H70" s="215"/>
      <c r="I70" s="215"/>
      <c r="J70" s="215"/>
      <c r="K70" s="216"/>
      <c r="L70" s="217">
        <f t="shared" si="0"/>
        <v>0</v>
      </c>
      <c r="M70" s="218">
        <f t="shared" si="1"/>
        <v>0</v>
      </c>
      <c r="N70" s="219" t="str">
        <f>LOOKUP(M70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0" s="220">
        <f t="shared" si="2"/>
        <v>0.75</v>
      </c>
      <c r="P70" s="214"/>
      <c r="Q70" s="215"/>
      <c r="R70" s="215"/>
      <c r="S70" s="215"/>
      <c r="T70" s="216"/>
      <c r="U70" s="217">
        <f t="shared" si="3"/>
        <v>0</v>
      </c>
      <c r="V70" s="218">
        <f t="shared" si="4"/>
        <v>0</v>
      </c>
      <c r="W70" s="219" t="str">
        <f>LOOKUP(V70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0" s="220">
        <f t="shared" si="5"/>
        <v>1.75</v>
      </c>
      <c r="Y70" s="221"/>
      <c r="Z70" s="222">
        <f t="shared" si="6"/>
        <v>0</v>
      </c>
      <c r="AA70" s="223" t="str">
        <f>LOOKUP(Z70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0" s="224">
        <f t="shared" si="7"/>
        <v>1.25</v>
      </c>
      <c r="AC70" s="214"/>
      <c r="AD70" s="225">
        <f t="shared" si="8"/>
        <v>0</v>
      </c>
      <c r="AE70" s="219" t="str">
        <f>LOOKUP(AD70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0" s="242">
        <f t="shared" si="9"/>
        <v>1.25</v>
      </c>
      <c r="AG70" s="34">
        <f t="shared" si="12"/>
        <v>5</v>
      </c>
      <c r="AH70" s="177">
        <f t="shared" si="10"/>
        <v>4</v>
      </c>
      <c r="AI70" s="5">
        <f>MIDTERM!AL70</f>
        <v>4</v>
      </c>
      <c r="AJ70" s="179">
        <f t="shared" si="11"/>
        <v>0.8</v>
      </c>
      <c r="AK70" s="23">
        <f t="shared" si="13"/>
        <v>4.8</v>
      </c>
      <c r="AL70" s="119">
        <f t="shared" si="14"/>
        <v>5</v>
      </c>
      <c r="AM70" s="120" t="str">
        <f t="shared" si="15"/>
        <v>FAILED</v>
      </c>
    </row>
    <row r="71" spans="1:39" x14ac:dyDescent="0.2">
      <c r="A71" s="61">
        <f>'Class List'!A55</f>
        <v>53</v>
      </c>
      <c r="B71" s="71">
        <f>'Class List'!B55</f>
        <v>0</v>
      </c>
      <c r="C71" s="72" t="str">
        <f>'Class List'!C55</f>
        <v>,</v>
      </c>
      <c r="D71" s="72">
        <f>'Class List'!D55</f>
        <v>0</v>
      </c>
      <c r="E71" s="73">
        <f>'Class List'!E55</f>
        <v>0</v>
      </c>
      <c r="F71" s="214"/>
      <c r="G71" s="215"/>
      <c r="H71" s="215"/>
      <c r="I71" s="215"/>
      <c r="J71" s="215"/>
      <c r="K71" s="216"/>
      <c r="L71" s="217">
        <f t="shared" si="0"/>
        <v>0</v>
      </c>
      <c r="M71" s="218">
        <f t="shared" si="1"/>
        <v>0</v>
      </c>
      <c r="N71" s="219" t="str">
        <f>LOOKUP(M71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1" s="220">
        <f t="shared" si="2"/>
        <v>0.75</v>
      </c>
      <c r="P71" s="214"/>
      <c r="Q71" s="215"/>
      <c r="R71" s="215"/>
      <c r="S71" s="215"/>
      <c r="T71" s="216"/>
      <c r="U71" s="217">
        <f t="shared" si="3"/>
        <v>0</v>
      </c>
      <c r="V71" s="218">
        <f t="shared" si="4"/>
        <v>0</v>
      </c>
      <c r="W71" s="219" t="str">
        <f>LOOKUP(V71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1" s="220">
        <f t="shared" si="5"/>
        <v>1.75</v>
      </c>
      <c r="Y71" s="221"/>
      <c r="Z71" s="222">
        <f t="shared" si="6"/>
        <v>0</v>
      </c>
      <c r="AA71" s="223" t="str">
        <f>LOOKUP(Z71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1" s="224">
        <f t="shared" si="7"/>
        <v>1.25</v>
      </c>
      <c r="AC71" s="214"/>
      <c r="AD71" s="225">
        <f t="shared" si="8"/>
        <v>0</v>
      </c>
      <c r="AE71" s="219" t="str">
        <f>LOOKUP(AD71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1" s="242">
        <f t="shared" si="9"/>
        <v>1.25</v>
      </c>
      <c r="AG71" s="34">
        <f t="shared" si="12"/>
        <v>5</v>
      </c>
      <c r="AH71" s="177">
        <f t="shared" si="10"/>
        <v>4</v>
      </c>
      <c r="AI71" s="5">
        <f>MIDTERM!AL71</f>
        <v>4</v>
      </c>
      <c r="AJ71" s="179">
        <f t="shared" si="11"/>
        <v>0.8</v>
      </c>
      <c r="AK71" s="23">
        <f t="shared" si="13"/>
        <v>4.8</v>
      </c>
      <c r="AL71" s="119">
        <f t="shared" si="14"/>
        <v>5</v>
      </c>
      <c r="AM71" s="120" t="str">
        <f t="shared" si="15"/>
        <v>FAILED</v>
      </c>
    </row>
    <row r="72" spans="1:39" x14ac:dyDescent="0.2">
      <c r="A72" s="61">
        <f>'Class List'!A56</f>
        <v>54</v>
      </c>
      <c r="B72" s="71">
        <f>'Class List'!B56</f>
        <v>0</v>
      </c>
      <c r="C72" s="72" t="str">
        <f>'Class List'!C56</f>
        <v>,</v>
      </c>
      <c r="D72" s="72">
        <f>'Class List'!D56</f>
        <v>0</v>
      </c>
      <c r="E72" s="73">
        <f>'Class List'!E56</f>
        <v>0</v>
      </c>
      <c r="F72" s="214"/>
      <c r="G72" s="215"/>
      <c r="H72" s="215"/>
      <c r="I72" s="215"/>
      <c r="J72" s="215"/>
      <c r="K72" s="216"/>
      <c r="L72" s="217">
        <f t="shared" si="0"/>
        <v>0</v>
      </c>
      <c r="M72" s="218">
        <f t="shared" si="1"/>
        <v>0</v>
      </c>
      <c r="N72" s="219" t="str">
        <f>LOOKUP(M72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2" s="220">
        <f t="shared" si="2"/>
        <v>0.75</v>
      </c>
      <c r="P72" s="214"/>
      <c r="Q72" s="215"/>
      <c r="R72" s="215"/>
      <c r="S72" s="215"/>
      <c r="T72" s="216"/>
      <c r="U72" s="217">
        <f t="shared" si="3"/>
        <v>0</v>
      </c>
      <c r="V72" s="218">
        <f t="shared" si="4"/>
        <v>0</v>
      </c>
      <c r="W72" s="219" t="str">
        <f>LOOKUP(V72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2" s="220">
        <f t="shared" si="5"/>
        <v>1.75</v>
      </c>
      <c r="Y72" s="221"/>
      <c r="Z72" s="222">
        <f t="shared" si="6"/>
        <v>0</v>
      </c>
      <c r="AA72" s="223" t="str">
        <f>LOOKUP(Z72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2" s="224">
        <f t="shared" si="7"/>
        <v>1.25</v>
      </c>
      <c r="AC72" s="214"/>
      <c r="AD72" s="225">
        <f t="shared" si="8"/>
        <v>0</v>
      </c>
      <c r="AE72" s="219" t="str">
        <f>LOOKUP(AD72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2" s="242">
        <f t="shared" si="9"/>
        <v>1.25</v>
      </c>
      <c r="AG72" s="34">
        <f t="shared" si="12"/>
        <v>5</v>
      </c>
      <c r="AH72" s="177">
        <f t="shared" si="10"/>
        <v>4</v>
      </c>
      <c r="AI72" s="5">
        <f>MIDTERM!AL72</f>
        <v>4</v>
      </c>
      <c r="AJ72" s="179">
        <f t="shared" si="11"/>
        <v>0.8</v>
      </c>
      <c r="AK72" s="23">
        <f t="shared" si="13"/>
        <v>4.8</v>
      </c>
      <c r="AL72" s="119">
        <f t="shared" si="14"/>
        <v>5</v>
      </c>
      <c r="AM72" s="120" t="str">
        <f t="shared" si="15"/>
        <v>FAILED</v>
      </c>
    </row>
    <row r="73" spans="1:39" x14ac:dyDescent="0.2">
      <c r="A73" s="61">
        <f>'Class List'!A57</f>
        <v>55</v>
      </c>
      <c r="B73" s="71">
        <f>'Class List'!B57</f>
        <v>0</v>
      </c>
      <c r="C73" s="72" t="str">
        <f>'Class List'!C57</f>
        <v>,</v>
      </c>
      <c r="D73" s="72">
        <f>'Class List'!D57</f>
        <v>0</v>
      </c>
      <c r="E73" s="73">
        <f>'Class List'!E57</f>
        <v>0</v>
      </c>
      <c r="F73" s="214"/>
      <c r="G73" s="215"/>
      <c r="H73" s="215"/>
      <c r="I73" s="215"/>
      <c r="J73" s="215"/>
      <c r="K73" s="216"/>
      <c r="L73" s="217">
        <f t="shared" si="0"/>
        <v>0</v>
      </c>
      <c r="M73" s="218">
        <f t="shared" si="1"/>
        <v>0</v>
      </c>
      <c r="N73" s="219" t="str">
        <f>LOOKUP(M73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3" s="220">
        <f t="shared" si="2"/>
        <v>0.75</v>
      </c>
      <c r="P73" s="214"/>
      <c r="Q73" s="215"/>
      <c r="R73" s="215"/>
      <c r="S73" s="215"/>
      <c r="T73" s="216"/>
      <c r="U73" s="217">
        <f t="shared" si="3"/>
        <v>0</v>
      </c>
      <c r="V73" s="218">
        <f t="shared" si="4"/>
        <v>0</v>
      </c>
      <c r="W73" s="219" t="str">
        <f>LOOKUP(V73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3" s="220">
        <f t="shared" si="5"/>
        <v>1.75</v>
      </c>
      <c r="Y73" s="221"/>
      <c r="Z73" s="222">
        <f t="shared" si="6"/>
        <v>0</v>
      </c>
      <c r="AA73" s="223" t="str">
        <f>LOOKUP(Z73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3" s="224">
        <f t="shared" si="7"/>
        <v>1.25</v>
      </c>
      <c r="AC73" s="214"/>
      <c r="AD73" s="225">
        <f t="shared" si="8"/>
        <v>0</v>
      </c>
      <c r="AE73" s="219" t="str">
        <f>LOOKUP(AD73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3" s="242">
        <f t="shared" si="9"/>
        <v>1.25</v>
      </c>
      <c r="AG73" s="34">
        <f t="shared" si="12"/>
        <v>5</v>
      </c>
      <c r="AH73" s="177">
        <f t="shared" si="10"/>
        <v>4</v>
      </c>
      <c r="AI73" s="5">
        <f>MIDTERM!AL73</f>
        <v>4</v>
      </c>
      <c r="AJ73" s="179">
        <f t="shared" si="11"/>
        <v>0.8</v>
      </c>
      <c r="AK73" s="23">
        <f t="shared" si="13"/>
        <v>4.8</v>
      </c>
      <c r="AL73" s="119">
        <f t="shared" si="14"/>
        <v>5</v>
      </c>
      <c r="AM73" s="120" t="str">
        <f t="shared" si="15"/>
        <v>FAILED</v>
      </c>
    </row>
    <row r="74" spans="1:39" x14ac:dyDescent="0.2">
      <c r="A74" s="61">
        <f>'Class List'!A58</f>
        <v>56</v>
      </c>
      <c r="B74" s="71">
        <f>'Class List'!B58</f>
        <v>0</v>
      </c>
      <c r="C74" s="72" t="str">
        <f>'Class List'!C58</f>
        <v>,</v>
      </c>
      <c r="D74" s="72">
        <f>'Class List'!D58</f>
        <v>0</v>
      </c>
      <c r="E74" s="73">
        <f>'Class List'!E58</f>
        <v>0</v>
      </c>
      <c r="F74" s="214"/>
      <c r="G74" s="215"/>
      <c r="H74" s="215"/>
      <c r="I74" s="215"/>
      <c r="J74" s="215"/>
      <c r="K74" s="216"/>
      <c r="L74" s="217">
        <f t="shared" si="0"/>
        <v>0</v>
      </c>
      <c r="M74" s="218">
        <f t="shared" si="1"/>
        <v>0</v>
      </c>
      <c r="N74" s="219" t="str">
        <f>LOOKUP(M74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4" s="220">
        <f t="shared" si="2"/>
        <v>0.75</v>
      </c>
      <c r="P74" s="214"/>
      <c r="Q74" s="215"/>
      <c r="R74" s="215"/>
      <c r="S74" s="215"/>
      <c r="T74" s="216"/>
      <c r="U74" s="217">
        <f t="shared" si="3"/>
        <v>0</v>
      </c>
      <c r="V74" s="218">
        <f t="shared" si="4"/>
        <v>0</v>
      </c>
      <c r="W74" s="219" t="str">
        <f>LOOKUP(V74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4" s="220">
        <f t="shared" si="5"/>
        <v>1.75</v>
      </c>
      <c r="Y74" s="221"/>
      <c r="Z74" s="222">
        <f t="shared" si="6"/>
        <v>0</v>
      </c>
      <c r="AA74" s="223" t="str">
        <f>LOOKUP(Z74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4" s="224">
        <f t="shared" si="7"/>
        <v>1.25</v>
      </c>
      <c r="AC74" s="214"/>
      <c r="AD74" s="225">
        <f t="shared" si="8"/>
        <v>0</v>
      </c>
      <c r="AE74" s="219" t="str">
        <f>LOOKUP(AD74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4" s="242">
        <f t="shared" si="9"/>
        <v>1.25</v>
      </c>
      <c r="AG74" s="34">
        <f t="shared" si="12"/>
        <v>5</v>
      </c>
      <c r="AH74" s="177">
        <f t="shared" si="10"/>
        <v>4</v>
      </c>
      <c r="AI74" s="5">
        <f>MIDTERM!AL74</f>
        <v>4</v>
      </c>
      <c r="AJ74" s="179">
        <f t="shared" si="11"/>
        <v>0.8</v>
      </c>
      <c r="AK74" s="23">
        <f t="shared" si="13"/>
        <v>4.8</v>
      </c>
      <c r="AL74" s="119">
        <f t="shared" si="14"/>
        <v>5</v>
      </c>
      <c r="AM74" s="120" t="str">
        <f t="shared" si="15"/>
        <v>FAILED</v>
      </c>
    </row>
    <row r="75" spans="1:39" x14ac:dyDescent="0.2">
      <c r="A75" s="61">
        <f>'Class List'!A59</f>
        <v>57</v>
      </c>
      <c r="B75" s="71">
        <f>'Class List'!B59</f>
        <v>0</v>
      </c>
      <c r="C75" s="72" t="str">
        <f>'Class List'!C59</f>
        <v>,</v>
      </c>
      <c r="D75" s="72">
        <f>'Class List'!D59</f>
        <v>0</v>
      </c>
      <c r="E75" s="73">
        <f>'Class List'!E59</f>
        <v>0</v>
      </c>
      <c r="F75" s="214"/>
      <c r="G75" s="215"/>
      <c r="H75" s="215"/>
      <c r="I75" s="215"/>
      <c r="J75" s="215"/>
      <c r="K75" s="216"/>
      <c r="L75" s="217">
        <f t="shared" si="0"/>
        <v>0</v>
      </c>
      <c r="M75" s="218">
        <f t="shared" si="1"/>
        <v>0</v>
      </c>
      <c r="N75" s="219" t="str">
        <f>LOOKUP(M75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5" s="220">
        <f t="shared" si="2"/>
        <v>0.75</v>
      </c>
      <c r="P75" s="214"/>
      <c r="Q75" s="215"/>
      <c r="R75" s="215"/>
      <c r="S75" s="215"/>
      <c r="T75" s="216"/>
      <c r="U75" s="217">
        <f t="shared" si="3"/>
        <v>0</v>
      </c>
      <c r="V75" s="218">
        <f t="shared" si="4"/>
        <v>0</v>
      </c>
      <c r="W75" s="219" t="str">
        <f>LOOKUP(V75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5" s="220">
        <f t="shared" si="5"/>
        <v>1.75</v>
      </c>
      <c r="Y75" s="221"/>
      <c r="Z75" s="222">
        <f t="shared" si="6"/>
        <v>0</v>
      </c>
      <c r="AA75" s="223" t="str">
        <f>LOOKUP(Z75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5" s="224">
        <f t="shared" si="7"/>
        <v>1.25</v>
      </c>
      <c r="AC75" s="214"/>
      <c r="AD75" s="225">
        <f t="shared" si="8"/>
        <v>0</v>
      </c>
      <c r="AE75" s="219" t="str">
        <f>LOOKUP(AD75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5" s="242">
        <f t="shared" si="9"/>
        <v>1.25</v>
      </c>
      <c r="AG75" s="34">
        <f t="shared" si="12"/>
        <v>5</v>
      </c>
      <c r="AH75" s="177">
        <f t="shared" si="10"/>
        <v>4</v>
      </c>
      <c r="AI75" s="5">
        <f>MIDTERM!AL75</f>
        <v>4</v>
      </c>
      <c r="AJ75" s="179">
        <f t="shared" si="11"/>
        <v>0.8</v>
      </c>
      <c r="AK75" s="23">
        <f t="shared" si="13"/>
        <v>4.8</v>
      </c>
      <c r="AL75" s="119">
        <f t="shared" si="14"/>
        <v>5</v>
      </c>
      <c r="AM75" s="120" t="str">
        <f t="shared" si="15"/>
        <v>FAILED</v>
      </c>
    </row>
    <row r="76" spans="1:39" x14ac:dyDescent="0.2">
      <c r="A76" s="61">
        <f>'Class List'!A60</f>
        <v>58</v>
      </c>
      <c r="B76" s="71">
        <f>'Class List'!B60</f>
        <v>0</v>
      </c>
      <c r="C76" s="72" t="str">
        <f>'Class List'!C60</f>
        <v>,</v>
      </c>
      <c r="D76" s="72">
        <f>'Class List'!D60</f>
        <v>0</v>
      </c>
      <c r="E76" s="73">
        <f>'Class List'!E60</f>
        <v>0</v>
      </c>
      <c r="F76" s="214"/>
      <c r="G76" s="215"/>
      <c r="H76" s="215"/>
      <c r="I76" s="215"/>
      <c r="J76" s="215"/>
      <c r="K76" s="216"/>
      <c r="L76" s="217">
        <f t="shared" si="0"/>
        <v>0</v>
      </c>
      <c r="M76" s="218">
        <f t="shared" si="1"/>
        <v>0</v>
      </c>
      <c r="N76" s="219" t="str">
        <f>LOOKUP(M76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6" s="220">
        <f t="shared" si="2"/>
        <v>0.75</v>
      </c>
      <c r="P76" s="214"/>
      <c r="Q76" s="215"/>
      <c r="R76" s="215"/>
      <c r="S76" s="215"/>
      <c r="T76" s="216"/>
      <c r="U76" s="217">
        <f t="shared" si="3"/>
        <v>0</v>
      </c>
      <c r="V76" s="218">
        <f t="shared" si="4"/>
        <v>0</v>
      </c>
      <c r="W76" s="219" t="str">
        <f>LOOKUP(V76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6" s="220">
        <f t="shared" si="5"/>
        <v>1.75</v>
      </c>
      <c r="Y76" s="221"/>
      <c r="Z76" s="222">
        <f t="shared" si="6"/>
        <v>0</v>
      </c>
      <c r="AA76" s="223" t="str">
        <f>LOOKUP(Z76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6" s="224">
        <f t="shared" si="7"/>
        <v>1.25</v>
      </c>
      <c r="AC76" s="214"/>
      <c r="AD76" s="225">
        <f t="shared" si="8"/>
        <v>0</v>
      </c>
      <c r="AE76" s="219" t="str">
        <f>LOOKUP(AD76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6" s="242">
        <f t="shared" si="9"/>
        <v>1.25</v>
      </c>
      <c r="AG76" s="34">
        <f t="shared" si="12"/>
        <v>5</v>
      </c>
      <c r="AH76" s="177">
        <f t="shared" si="10"/>
        <v>4</v>
      </c>
      <c r="AI76" s="5">
        <f>MIDTERM!AL76</f>
        <v>4</v>
      </c>
      <c r="AJ76" s="179">
        <f t="shared" si="11"/>
        <v>0.8</v>
      </c>
      <c r="AK76" s="23">
        <f t="shared" si="13"/>
        <v>4.8</v>
      </c>
      <c r="AL76" s="119">
        <f t="shared" si="14"/>
        <v>5</v>
      </c>
      <c r="AM76" s="120" t="str">
        <f t="shared" si="15"/>
        <v>FAILED</v>
      </c>
    </row>
    <row r="77" spans="1:39" x14ac:dyDescent="0.2">
      <c r="A77" s="61">
        <f>'Class List'!A61</f>
        <v>59</v>
      </c>
      <c r="B77" s="71">
        <f>'Class List'!B61</f>
        <v>0</v>
      </c>
      <c r="C77" s="72" t="str">
        <f>'Class List'!C61</f>
        <v>,</v>
      </c>
      <c r="D77" s="72">
        <f>'Class List'!D61</f>
        <v>0</v>
      </c>
      <c r="E77" s="73">
        <f>'Class List'!E61</f>
        <v>0</v>
      </c>
      <c r="F77" s="214"/>
      <c r="G77" s="215"/>
      <c r="H77" s="215"/>
      <c r="I77" s="215"/>
      <c r="J77" s="215"/>
      <c r="K77" s="216"/>
      <c r="L77" s="217">
        <f t="shared" si="0"/>
        <v>0</v>
      </c>
      <c r="M77" s="218">
        <f t="shared" si="1"/>
        <v>0</v>
      </c>
      <c r="N77" s="219" t="str">
        <f>LOOKUP(M77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7" s="220">
        <f t="shared" si="2"/>
        <v>0.75</v>
      </c>
      <c r="P77" s="214"/>
      <c r="Q77" s="215"/>
      <c r="R77" s="215"/>
      <c r="S77" s="215"/>
      <c r="T77" s="216"/>
      <c r="U77" s="217">
        <f t="shared" si="3"/>
        <v>0</v>
      </c>
      <c r="V77" s="218">
        <f t="shared" si="4"/>
        <v>0</v>
      </c>
      <c r="W77" s="219" t="str">
        <f>LOOKUP(V77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7" s="220">
        <f t="shared" si="5"/>
        <v>1.75</v>
      </c>
      <c r="Y77" s="221"/>
      <c r="Z77" s="222">
        <f t="shared" si="6"/>
        <v>0</v>
      </c>
      <c r="AA77" s="223" t="str">
        <f>LOOKUP(Z77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7" s="224">
        <f t="shared" si="7"/>
        <v>1.25</v>
      </c>
      <c r="AC77" s="214"/>
      <c r="AD77" s="225">
        <f t="shared" si="8"/>
        <v>0</v>
      </c>
      <c r="AE77" s="219" t="str">
        <f>LOOKUP(AD77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7" s="242">
        <f t="shared" si="9"/>
        <v>1.25</v>
      </c>
      <c r="AG77" s="34">
        <f t="shared" si="12"/>
        <v>5</v>
      </c>
      <c r="AH77" s="177">
        <f t="shared" si="10"/>
        <v>4</v>
      </c>
      <c r="AI77" s="5">
        <f>MIDTERM!AL77</f>
        <v>4</v>
      </c>
      <c r="AJ77" s="179">
        <f t="shared" si="11"/>
        <v>0.8</v>
      </c>
      <c r="AK77" s="23">
        <f t="shared" si="13"/>
        <v>4.8</v>
      </c>
      <c r="AL77" s="119">
        <f t="shared" si="14"/>
        <v>5</v>
      </c>
      <c r="AM77" s="120" t="str">
        <f t="shared" si="15"/>
        <v>FAILED</v>
      </c>
    </row>
    <row r="78" spans="1:39" ht="17" thickBot="1" x14ac:dyDescent="0.25">
      <c r="A78" s="67">
        <f>'Class List'!A62</f>
        <v>60</v>
      </c>
      <c r="B78" s="74">
        <f>'Class List'!B62</f>
        <v>0</v>
      </c>
      <c r="C78" s="75" t="str">
        <f>'Class List'!C62</f>
        <v>,</v>
      </c>
      <c r="D78" s="75">
        <f>'Class List'!D62</f>
        <v>0</v>
      </c>
      <c r="E78" s="76">
        <f>'Class List'!E62</f>
        <v>0</v>
      </c>
      <c r="F78" s="227"/>
      <c r="G78" s="228"/>
      <c r="H78" s="228"/>
      <c r="I78" s="228"/>
      <c r="J78" s="228"/>
      <c r="K78" s="229"/>
      <c r="L78" s="243">
        <f t="shared" si="0"/>
        <v>0</v>
      </c>
      <c r="M78" s="244">
        <f t="shared" si="1"/>
        <v>0</v>
      </c>
      <c r="N78" s="219" t="str">
        <f>LOOKUP(M78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O78" s="245">
        <f t="shared" si="2"/>
        <v>0.75</v>
      </c>
      <c r="P78" s="227"/>
      <c r="Q78" s="228"/>
      <c r="R78" s="228"/>
      <c r="S78" s="228"/>
      <c r="T78" s="229"/>
      <c r="U78" s="243">
        <f t="shared" si="3"/>
        <v>0</v>
      </c>
      <c r="V78" s="244">
        <f t="shared" si="4"/>
        <v>0</v>
      </c>
      <c r="W78" s="219" t="str">
        <f>LOOKUP(V78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X78" s="245">
        <f t="shared" si="5"/>
        <v>1.75</v>
      </c>
      <c r="Y78" s="230"/>
      <c r="Z78" s="246">
        <f t="shared" si="6"/>
        <v>0</v>
      </c>
      <c r="AA78" s="223" t="str">
        <f>LOOKUP(Z78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B78" s="247">
        <f t="shared" si="7"/>
        <v>1.25</v>
      </c>
      <c r="AC78" s="227"/>
      <c r="AD78" s="248">
        <f t="shared" si="8"/>
        <v>0</v>
      </c>
      <c r="AE78" s="219" t="str">
        <f>LOOKUP(AD78,{0,1,4,7,11,15,19,23,27,31,35,39,43,47,51,55,59,63,67,71,75,76,77,78,79,80,81,82,83,84,85,86,87,88,89,90,91,93,95,97,99},{"5.0","4.9","4.8","4.7","4.6","4.5","4.4","4.3","4.2","4.1","4.0","3.9","3.8","3.7","3.6","3.5","3.4","3.3","3.2","3.1","3.0","2.9","2.8","2.7","2.6","2.5","2.4","2.3","2.2","2.1","2.0","1.9","1.8","1.7","1.6","1.5","1.4","1.3","1.2","1.1","1.0"})</f>
        <v>5.0</v>
      </c>
      <c r="AF78" s="249">
        <f t="shared" si="9"/>
        <v>1.25</v>
      </c>
      <c r="AG78" s="111">
        <f t="shared" si="12"/>
        <v>5</v>
      </c>
      <c r="AH78" s="177">
        <f t="shared" si="10"/>
        <v>4</v>
      </c>
      <c r="AI78" s="113">
        <f>MIDTERM!AL78</f>
        <v>4</v>
      </c>
      <c r="AJ78" s="179">
        <f t="shared" si="11"/>
        <v>0.8</v>
      </c>
      <c r="AK78" s="114">
        <f t="shared" si="13"/>
        <v>4.8</v>
      </c>
      <c r="AL78" s="121">
        <f t="shared" si="14"/>
        <v>5</v>
      </c>
      <c r="AM78" s="122" t="str">
        <f t="shared" si="15"/>
        <v>FAILED</v>
      </c>
    </row>
    <row r="79" spans="1:39" x14ac:dyDescent="0.2">
      <c r="A79" s="42"/>
      <c r="B79" s="43"/>
      <c r="C79" s="43"/>
      <c r="D79" s="43"/>
      <c r="E79" s="43"/>
      <c r="F79" s="78"/>
      <c r="G79" s="78"/>
      <c r="H79" s="78"/>
      <c r="I79" s="78"/>
      <c r="J79" s="78"/>
      <c r="K79" s="78"/>
      <c r="L79" s="100"/>
      <c r="M79" s="93"/>
      <c r="N79" s="86"/>
      <c r="O79" s="107"/>
      <c r="P79" s="78"/>
      <c r="Q79" s="78"/>
      <c r="R79" s="78"/>
      <c r="S79" s="78"/>
      <c r="T79" s="78"/>
      <c r="U79" s="100"/>
      <c r="V79" s="93"/>
      <c r="W79" s="86"/>
      <c r="X79" s="107"/>
      <c r="Y79" s="26"/>
      <c r="Z79" s="26"/>
      <c r="AA79" s="26"/>
      <c r="AB79" s="26"/>
      <c r="AC79" s="26"/>
      <c r="AD79" s="26"/>
      <c r="AE79" s="26"/>
      <c r="AF79" s="26"/>
      <c r="AG79" s="26"/>
      <c r="AH79" s="27"/>
      <c r="AI79" s="27"/>
      <c r="AJ79" s="27"/>
      <c r="AK79" s="27"/>
      <c r="AL79" s="27"/>
      <c r="AM79" s="28"/>
    </row>
    <row r="80" spans="1:39" x14ac:dyDescent="0.2">
      <c r="A80" s="13"/>
      <c r="B80" s="7"/>
      <c r="C80" s="7"/>
      <c r="D80" s="7"/>
      <c r="E80" s="7"/>
      <c r="F80" s="79"/>
      <c r="G80" s="79"/>
      <c r="H80" s="79"/>
      <c r="I80" s="79"/>
      <c r="J80" s="79"/>
      <c r="K80" s="79"/>
      <c r="L80" s="101"/>
      <c r="M80" s="94"/>
      <c r="N80" s="87"/>
      <c r="O80" s="108"/>
      <c r="P80" s="79"/>
      <c r="Q80" s="79"/>
      <c r="R80" s="79"/>
      <c r="S80" s="79"/>
      <c r="T80" s="79"/>
      <c r="U80" s="101"/>
      <c r="V80" s="94"/>
      <c r="W80" s="87"/>
      <c r="X80" s="108"/>
      <c r="Y80" s="7"/>
      <c r="Z80" s="7"/>
      <c r="AA80" s="7"/>
      <c r="AB80" s="7"/>
      <c r="AC80" s="7"/>
      <c r="AD80" s="7"/>
      <c r="AE80" s="7"/>
      <c r="AF80" s="7"/>
      <c r="AG80" s="7"/>
      <c r="AM80" s="12"/>
    </row>
    <row r="81" spans="1:39" x14ac:dyDescent="0.2">
      <c r="A81" s="13"/>
      <c r="B81" s="7" t="s">
        <v>16</v>
      </c>
      <c r="C81" s="7"/>
      <c r="D81" s="18"/>
      <c r="F81" s="79"/>
      <c r="G81" s="79"/>
      <c r="H81" s="79"/>
      <c r="I81" s="79"/>
      <c r="J81" s="79"/>
      <c r="K81" s="7" t="s">
        <v>43</v>
      </c>
      <c r="L81" s="101"/>
      <c r="M81" s="94"/>
      <c r="N81" s="87"/>
      <c r="O81" s="124"/>
      <c r="P81" s="79"/>
      <c r="Q81" s="79"/>
      <c r="R81" s="79"/>
      <c r="S81" s="79"/>
      <c r="T81" s="79"/>
      <c r="U81" s="101"/>
      <c r="V81" s="94"/>
      <c r="W81" s="87"/>
      <c r="X81" s="108"/>
      <c r="Y81" s="7"/>
      <c r="Z81" s="7"/>
      <c r="AA81" s="7"/>
      <c r="AB81" s="45"/>
      <c r="AC81" s="7"/>
      <c r="AD81" s="7" t="s">
        <v>44</v>
      </c>
      <c r="AE81" s="18"/>
      <c r="AF81" s="7"/>
      <c r="AG81" s="7"/>
      <c r="AM81" s="12"/>
    </row>
    <row r="82" spans="1:39" x14ac:dyDescent="0.2">
      <c r="A82" s="13"/>
      <c r="B82" s="7"/>
      <c r="C82" s="7"/>
      <c r="D82" s="7"/>
      <c r="F82" s="79"/>
      <c r="G82" s="79"/>
      <c r="H82" s="79"/>
      <c r="I82" s="79"/>
      <c r="J82" s="79"/>
      <c r="K82" s="7"/>
      <c r="L82" s="101"/>
      <c r="M82" s="94"/>
      <c r="N82" s="87"/>
      <c r="O82" s="124"/>
      <c r="P82" s="79"/>
      <c r="Q82" s="79"/>
      <c r="R82" s="79"/>
      <c r="S82" s="79"/>
      <c r="T82" s="79"/>
      <c r="U82" s="101"/>
      <c r="V82" s="94"/>
      <c r="W82" s="87"/>
      <c r="X82" s="108"/>
      <c r="Y82" s="7"/>
      <c r="Z82" s="7"/>
      <c r="AA82" s="7"/>
      <c r="AB82" s="38"/>
      <c r="AC82" s="7"/>
      <c r="AD82" s="7"/>
      <c r="AE82" s="7"/>
      <c r="AF82" s="7"/>
      <c r="AG82" s="7"/>
      <c r="AM82" s="12"/>
    </row>
    <row r="83" spans="1:39" x14ac:dyDescent="0.2">
      <c r="A83" s="13"/>
      <c r="B83" s="40" t="str">
        <f>'Class List'!J7</f>
        <v>Department of Business Management &amp; Entrepreneurship</v>
      </c>
      <c r="C83" s="7"/>
      <c r="D83" s="7"/>
      <c r="F83" s="80"/>
      <c r="G83" s="80"/>
      <c r="H83" s="80"/>
      <c r="I83" s="80"/>
      <c r="J83" s="80"/>
      <c r="K83" s="45" t="s">
        <v>142</v>
      </c>
      <c r="L83" s="102"/>
      <c r="M83" s="95"/>
      <c r="N83" s="88"/>
      <c r="O83" s="124"/>
      <c r="P83" s="80"/>
      <c r="Q83" s="80"/>
      <c r="R83" s="80"/>
      <c r="S83" s="80"/>
      <c r="T83" s="80"/>
      <c r="U83" s="102"/>
      <c r="V83" s="95"/>
      <c r="W83" s="88"/>
      <c r="X83" s="109"/>
      <c r="Y83" s="45"/>
      <c r="Z83" s="7"/>
      <c r="AA83" s="7"/>
      <c r="AB83" s="7"/>
      <c r="AC83" s="18"/>
      <c r="AD83" s="18" t="s">
        <v>45</v>
      </c>
      <c r="AE83" s="7"/>
      <c r="AF83" s="7"/>
      <c r="AG83" s="7"/>
      <c r="AM83" s="12"/>
    </row>
    <row r="84" spans="1:39" x14ac:dyDescent="0.2">
      <c r="A84" s="13"/>
      <c r="B84" s="38" t="s">
        <v>17</v>
      </c>
      <c r="C84" s="7"/>
      <c r="D84" s="38"/>
      <c r="F84" s="81"/>
      <c r="G84" s="81"/>
      <c r="H84" s="81"/>
      <c r="I84" s="81"/>
      <c r="J84" s="81"/>
      <c r="K84" s="38" t="s">
        <v>143</v>
      </c>
      <c r="L84" s="102"/>
      <c r="M84" s="95"/>
      <c r="N84" s="88"/>
      <c r="O84" s="124"/>
      <c r="P84" s="81"/>
      <c r="Q84" s="81"/>
      <c r="R84" s="81"/>
      <c r="S84" s="81"/>
      <c r="T84" s="81"/>
      <c r="U84" s="102"/>
      <c r="V84" s="95"/>
      <c r="W84" s="88"/>
      <c r="X84" s="109"/>
      <c r="Y84" s="38"/>
      <c r="Z84" s="7"/>
      <c r="AA84" s="7"/>
      <c r="AB84" s="7"/>
      <c r="AC84" s="7"/>
      <c r="AD84" s="38" t="s">
        <v>46</v>
      </c>
      <c r="AE84" s="7"/>
      <c r="AF84" s="7"/>
      <c r="AG84" s="7"/>
      <c r="AM84" s="12"/>
    </row>
    <row r="85" spans="1:39" ht="17" thickBot="1" x14ac:dyDescent="0.25">
      <c r="A85" s="14"/>
      <c r="B85" s="15"/>
      <c r="C85" s="15"/>
      <c r="D85" s="15"/>
      <c r="E85" s="15"/>
      <c r="F85" s="82"/>
      <c r="G85" s="82"/>
      <c r="H85" s="82"/>
      <c r="I85" s="82"/>
      <c r="J85" s="82"/>
      <c r="K85" s="82"/>
      <c r="L85" s="103"/>
      <c r="M85" s="96"/>
      <c r="N85" s="89"/>
      <c r="O85" s="110"/>
      <c r="P85" s="82"/>
      <c r="Q85" s="82"/>
      <c r="R85" s="82"/>
      <c r="S85" s="82"/>
      <c r="T85" s="82"/>
      <c r="U85" s="103"/>
      <c r="V85" s="96"/>
      <c r="W85" s="89"/>
      <c r="X85" s="110"/>
      <c r="Y85" s="15"/>
      <c r="Z85" s="15"/>
      <c r="AA85" s="15"/>
      <c r="AB85" s="15"/>
      <c r="AC85" s="15"/>
      <c r="AD85" s="15"/>
      <c r="AE85" s="15"/>
      <c r="AF85" s="15"/>
      <c r="AG85" s="15"/>
      <c r="AH85" s="29"/>
      <c r="AI85" s="29"/>
      <c r="AJ85" s="29"/>
      <c r="AK85" s="29"/>
      <c r="AL85" s="29"/>
      <c r="AM85" s="30"/>
    </row>
    <row r="86" spans="1:39" x14ac:dyDescent="0.2">
      <c r="AC86" s="7"/>
      <c r="AD86" s="7"/>
      <c r="AE86" s="7"/>
      <c r="AF86" s="7"/>
    </row>
    <row r="87" spans="1:39" x14ac:dyDescent="0.2">
      <c r="AC87" s="7"/>
      <c r="AD87" s="7"/>
      <c r="AE87" s="7"/>
      <c r="AF87" s="7"/>
    </row>
  </sheetData>
  <sheetProtection algorithmName="SHA-512" hashValue="9W2cMvvbdeCmKBXKUncFRn8aOpHRT+PVgnTKdGVx3gA6Ds+j8Fr0AzA0U5PVj3i59ZTvApfpO1qUI7/MYfAT0g==" saltValue="KCoLef76M9dsS3lOfJO1xw==" spinCount="100000" sheet="1" formatCells="0" formatColumns="0" formatRows="0" sort="0" autoFilter="0" pivotTables="0"/>
  <mergeCells count="25">
    <mergeCell ref="A8:D8"/>
    <mergeCell ref="A9:D9"/>
    <mergeCell ref="A2:AM2"/>
    <mergeCell ref="A3:AM3"/>
    <mergeCell ref="A4:AM4"/>
    <mergeCell ref="A5:AM5"/>
    <mergeCell ref="E7:AM7"/>
    <mergeCell ref="A7:D7"/>
    <mergeCell ref="E8:AM8"/>
    <mergeCell ref="E9:AM9"/>
    <mergeCell ref="A14:E16"/>
    <mergeCell ref="A10:D10"/>
    <mergeCell ref="E10:AM10"/>
    <mergeCell ref="A12:AM12"/>
    <mergeCell ref="AK14:AK16"/>
    <mergeCell ref="AL14:AL16"/>
    <mergeCell ref="AM14:AM16"/>
    <mergeCell ref="F14:O15"/>
    <mergeCell ref="P14:X15"/>
    <mergeCell ref="Y14:AB15"/>
    <mergeCell ref="AC14:AF15"/>
    <mergeCell ref="AG14:AG16"/>
    <mergeCell ref="AH14:AH16"/>
    <mergeCell ref="AI14:AI16"/>
    <mergeCell ref="AJ14:AJ16"/>
  </mergeCells>
  <conditionalFormatting sqref="AG17:AG78">
    <cfRule type="cellIs" dxfId="4" priority="2" operator="greaterThan">
      <formula>3.1</formula>
    </cfRule>
  </conditionalFormatting>
  <conditionalFormatting sqref="AK17:AL78">
    <cfRule type="cellIs" dxfId="3" priority="1" operator="greaterThan">
      <formula>3.1</formula>
    </cfRule>
  </conditionalFormatting>
  <printOptions horizontalCentered="1"/>
  <pageMargins left="0.25" right="0.25" top="0.5" bottom="0.25" header="0.25" footer="0.25"/>
  <pageSetup paperSize="14" scale="70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F8AB-A930-CE40-A7C2-9C4D5334E19A}">
  <sheetPr>
    <tabColor rgb="FF8AFFE6"/>
  </sheetPr>
  <dimension ref="A2:J96"/>
  <sheetViews>
    <sheetView topLeftCell="A62" zoomScaleNormal="100" workbookViewId="0">
      <selection activeCell="B88" sqref="B88"/>
    </sheetView>
  </sheetViews>
  <sheetFormatPr baseColWidth="10" defaultRowHeight="16" x14ac:dyDescent="0.2"/>
  <cols>
    <col min="1" max="1" width="3.83203125" style="129" bestFit="1" customWidth="1"/>
    <col min="2" max="2" width="17.5" style="19" customWidth="1"/>
    <col min="3" max="3" width="12.33203125" style="19" customWidth="1"/>
    <col min="4" max="4" width="14.6640625" style="19" customWidth="1"/>
    <col min="5" max="5" width="14.1640625" style="19" customWidth="1"/>
    <col min="6" max="6" width="12.6640625" style="19" customWidth="1"/>
    <col min="7" max="7" width="13.6640625" style="19" customWidth="1"/>
    <col min="8" max="8" width="15.33203125" style="19" hidden="1" customWidth="1"/>
    <col min="9" max="16384" width="10.83203125" style="19"/>
  </cols>
  <sheetData>
    <row r="2" spans="1:10" x14ac:dyDescent="0.2">
      <c r="A2" s="310" t="s">
        <v>66</v>
      </c>
      <c r="B2" s="310"/>
      <c r="C2" s="310"/>
      <c r="D2" s="310"/>
      <c r="E2" s="310"/>
      <c r="F2" s="310"/>
      <c r="G2" s="310"/>
      <c r="H2" s="310"/>
      <c r="I2" s="125"/>
    </row>
    <row r="3" spans="1:10" x14ac:dyDescent="0.2">
      <c r="A3" s="310" t="s">
        <v>67</v>
      </c>
      <c r="B3" s="310"/>
      <c r="C3" s="310"/>
      <c r="D3" s="310"/>
      <c r="E3" s="310"/>
      <c r="F3" s="310"/>
      <c r="G3" s="310"/>
      <c r="H3" s="310"/>
      <c r="I3" s="125"/>
    </row>
    <row r="4" spans="1:10" x14ac:dyDescent="0.2">
      <c r="A4" s="311" t="s">
        <v>68</v>
      </c>
      <c r="B4" s="311"/>
      <c r="C4" s="311"/>
      <c r="D4" s="311"/>
      <c r="E4" s="311"/>
      <c r="F4" s="311"/>
      <c r="G4" s="311"/>
      <c r="H4" s="311"/>
      <c r="I4" s="125"/>
    </row>
    <row r="5" spans="1:10" ht="6" customHeight="1" x14ac:dyDescent="0.2">
      <c r="A5" s="126"/>
      <c r="B5" s="125"/>
      <c r="C5" s="126"/>
      <c r="D5" s="125"/>
      <c r="E5" s="125"/>
      <c r="F5" s="125"/>
      <c r="G5" s="125"/>
      <c r="H5" s="125"/>
      <c r="I5" s="125"/>
    </row>
    <row r="6" spans="1:10" x14ac:dyDescent="0.2">
      <c r="A6" s="312" t="s">
        <v>0</v>
      </c>
      <c r="B6" s="312"/>
      <c r="C6" s="312"/>
      <c r="D6" s="312"/>
      <c r="E6" s="312"/>
      <c r="F6" s="312"/>
      <c r="G6" s="312"/>
      <c r="H6" s="312"/>
      <c r="I6" s="125"/>
    </row>
    <row r="7" spans="1:10" ht="20" customHeight="1" x14ac:dyDescent="0.2">
      <c r="A7" s="313" t="s">
        <v>1</v>
      </c>
      <c r="B7" s="313"/>
      <c r="C7" s="313"/>
      <c r="D7" s="313"/>
      <c r="E7" s="313"/>
      <c r="F7" s="313"/>
      <c r="G7" s="313"/>
      <c r="H7" s="313"/>
      <c r="I7" s="125"/>
    </row>
    <row r="8" spans="1:10" ht="3" customHeight="1" x14ac:dyDescent="0.2">
      <c r="A8" s="127"/>
      <c r="B8" s="128"/>
      <c r="C8" s="127"/>
      <c r="D8" s="127"/>
      <c r="E8" s="127"/>
      <c r="F8" s="127"/>
      <c r="G8" s="127"/>
      <c r="H8" s="127"/>
      <c r="I8" s="125"/>
    </row>
    <row r="9" spans="1:10" ht="6" customHeight="1" x14ac:dyDescent="0.2">
      <c r="A9" s="125"/>
      <c r="B9" s="125"/>
      <c r="C9" s="125"/>
      <c r="D9" s="125"/>
      <c r="E9" s="125"/>
      <c r="F9" s="125"/>
      <c r="G9" s="125"/>
      <c r="H9" s="125"/>
      <c r="I9" s="125"/>
    </row>
    <row r="10" spans="1:10" x14ac:dyDescent="0.2">
      <c r="A10" s="317" t="s">
        <v>69</v>
      </c>
      <c r="B10" s="317"/>
      <c r="C10" s="317"/>
      <c r="D10" s="317"/>
      <c r="E10" s="317"/>
      <c r="F10" s="317"/>
      <c r="G10" s="317"/>
      <c r="H10" s="317"/>
      <c r="I10" s="125"/>
    </row>
    <row r="11" spans="1:10" x14ac:dyDescent="0.2">
      <c r="A11" s="310" t="str">
        <f>'Class List'!J6</f>
        <v>First Semester, A.Y. 2026 - 2027</v>
      </c>
      <c r="B11" s="310"/>
      <c r="C11" s="310"/>
      <c r="D11" s="310"/>
      <c r="E11" s="310"/>
      <c r="F11" s="310"/>
      <c r="G11" s="310"/>
      <c r="H11" s="310"/>
      <c r="I11" s="125"/>
    </row>
    <row r="12" spans="1:10" ht="5" customHeight="1" x14ac:dyDescent="0.2"/>
    <row r="13" spans="1:10" s="130" customFormat="1" x14ac:dyDescent="0.2">
      <c r="A13" s="152"/>
      <c r="B13" s="153" t="s">
        <v>77</v>
      </c>
      <c r="C13" s="169" t="str">
        <f>'Class List'!J9</f>
        <v>ABM 1</v>
      </c>
      <c r="D13" s="154"/>
      <c r="E13" s="153" t="s">
        <v>127</v>
      </c>
      <c r="F13" s="251" t="str">
        <f>'Class List'!J12</f>
        <v>BSHM 1 - DAISY</v>
      </c>
      <c r="G13" s="169"/>
      <c r="H13" s="170"/>
      <c r="J13" s="19"/>
    </row>
    <row r="14" spans="1:10" s="130" customFormat="1" x14ac:dyDescent="0.2">
      <c r="A14" s="152"/>
      <c r="B14" s="153" t="s">
        <v>78</v>
      </c>
      <c r="C14" s="169" t="str">
        <f>'Class List'!J10</f>
        <v>ORGANZIATION AND MANAGEMENT</v>
      </c>
      <c r="D14" s="154"/>
      <c r="E14" s="155" t="s">
        <v>41</v>
      </c>
      <c r="F14" s="156" t="str">
        <f>'Class List'!J8</f>
        <v>MARL VINCENT L. LABITAD, MPA</v>
      </c>
      <c r="G14" s="156"/>
      <c r="H14" s="157"/>
      <c r="J14" s="19"/>
    </row>
    <row r="15" spans="1:10" x14ac:dyDescent="0.2">
      <c r="A15" s="149"/>
      <c r="B15" s="149"/>
      <c r="C15" s="149"/>
      <c r="D15" s="149"/>
      <c r="E15" s="149"/>
      <c r="F15" s="149"/>
      <c r="G15" s="149"/>
      <c r="H15" s="149"/>
    </row>
    <row r="16" spans="1:10" s="131" customFormat="1" ht="14" customHeight="1" x14ac:dyDescent="0.2">
      <c r="A16" s="322" t="s">
        <v>70</v>
      </c>
      <c r="B16" s="324" t="s">
        <v>71</v>
      </c>
      <c r="C16" s="325"/>
      <c r="D16" s="318" t="s">
        <v>72</v>
      </c>
      <c r="E16" s="319"/>
      <c r="F16" s="320"/>
      <c r="G16" s="321" t="s">
        <v>10</v>
      </c>
      <c r="H16" s="321" t="s">
        <v>83</v>
      </c>
    </row>
    <row r="17" spans="1:8" s="131" customFormat="1" ht="14" customHeight="1" x14ac:dyDescent="0.2">
      <c r="A17" s="323"/>
      <c r="B17" s="326"/>
      <c r="C17" s="327"/>
      <c r="D17" s="158" t="s">
        <v>73</v>
      </c>
      <c r="E17" s="158" t="s">
        <v>74</v>
      </c>
      <c r="F17" s="158" t="s">
        <v>24</v>
      </c>
      <c r="G17" s="321"/>
      <c r="H17" s="321"/>
    </row>
    <row r="18" spans="1:8" ht="14" customHeight="1" x14ac:dyDescent="0.2">
      <c r="A18" s="159"/>
      <c r="B18" s="160"/>
      <c r="C18" s="161"/>
      <c r="D18" s="159"/>
      <c r="E18" s="159"/>
      <c r="F18" s="159"/>
      <c r="G18" s="159"/>
      <c r="H18" s="159"/>
    </row>
    <row r="19" spans="1:8" ht="14" customHeight="1" x14ac:dyDescent="0.2">
      <c r="A19" s="159">
        <f>'Class List'!A3</f>
        <v>1</v>
      </c>
      <c r="B19" s="162" t="str">
        <f>'Class List'!F3</f>
        <v>BACALSO, HELEN S.</v>
      </c>
      <c r="C19" s="163"/>
      <c r="D19" s="164">
        <f>PRELIM!AH19</f>
        <v>4</v>
      </c>
      <c r="E19" s="164"/>
      <c r="F19" s="164"/>
      <c r="G19" s="164"/>
      <c r="H19" s="158" t="str">
        <f>'Class List'!G3</f>
        <v>BSED-MATH</v>
      </c>
    </row>
    <row r="20" spans="1:8" ht="14" customHeight="1" x14ac:dyDescent="0.2">
      <c r="A20" s="159">
        <f>'Class List'!A4</f>
        <v>2</v>
      </c>
      <c r="B20" s="162" t="str">
        <f>'Class List'!F4</f>
        <v xml:space="preserve">,  </v>
      </c>
      <c r="C20" s="163"/>
      <c r="D20" s="164">
        <f>PRELIM!AH20</f>
        <v>4</v>
      </c>
      <c r="E20" s="164"/>
      <c r="F20" s="164"/>
      <c r="G20" s="164"/>
      <c r="H20" s="158">
        <f>'Class List'!G4</f>
        <v>0</v>
      </c>
    </row>
    <row r="21" spans="1:8" ht="14" customHeight="1" x14ac:dyDescent="0.2">
      <c r="A21" s="159">
        <f>'Class List'!A5</f>
        <v>3</v>
      </c>
      <c r="B21" s="162" t="str">
        <f>'Class List'!F5</f>
        <v xml:space="preserve">,  </v>
      </c>
      <c r="C21" s="163"/>
      <c r="D21" s="164">
        <f>PRELIM!AH21</f>
        <v>4</v>
      </c>
      <c r="E21" s="164"/>
      <c r="F21" s="164"/>
      <c r="G21" s="164"/>
      <c r="H21" s="158">
        <f>'Class List'!G5</f>
        <v>0</v>
      </c>
    </row>
    <row r="22" spans="1:8" ht="14" customHeight="1" x14ac:dyDescent="0.2">
      <c r="A22" s="159">
        <f>'Class List'!A6</f>
        <v>4</v>
      </c>
      <c r="B22" s="162" t="str">
        <f>'Class List'!F6</f>
        <v xml:space="preserve">,  </v>
      </c>
      <c r="C22" s="163"/>
      <c r="D22" s="164">
        <f>PRELIM!AH22</f>
        <v>4</v>
      </c>
      <c r="E22" s="164"/>
      <c r="F22" s="164"/>
      <c r="G22" s="164"/>
      <c r="H22" s="158">
        <f>'Class List'!G6</f>
        <v>0</v>
      </c>
    </row>
    <row r="23" spans="1:8" ht="14" customHeight="1" x14ac:dyDescent="0.2">
      <c r="A23" s="159">
        <f>'Class List'!A7</f>
        <v>5</v>
      </c>
      <c r="B23" s="162" t="str">
        <f>'Class List'!F7</f>
        <v xml:space="preserve">,  </v>
      </c>
      <c r="C23" s="163"/>
      <c r="D23" s="164">
        <f>PRELIM!AH23</f>
        <v>4</v>
      </c>
      <c r="E23" s="164"/>
      <c r="F23" s="164"/>
      <c r="G23" s="164"/>
      <c r="H23" s="158">
        <f>'Class List'!G7</f>
        <v>0</v>
      </c>
    </row>
    <row r="24" spans="1:8" ht="14" customHeight="1" x14ac:dyDescent="0.2">
      <c r="A24" s="159">
        <f>'Class List'!A8</f>
        <v>6</v>
      </c>
      <c r="B24" s="162" t="str">
        <f>'Class List'!F8</f>
        <v xml:space="preserve">,  </v>
      </c>
      <c r="C24" s="163"/>
      <c r="D24" s="164">
        <f>PRELIM!AH24</f>
        <v>4</v>
      </c>
      <c r="E24" s="164"/>
      <c r="F24" s="164"/>
      <c r="G24" s="164"/>
      <c r="H24" s="158">
        <f>'Class List'!G8</f>
        <v>0</v>
      </c>
    </row>
    <row r="25" spans="1:8" ht="14" customHeight="1" x14ac:dyDescent="0.2">
      <c r="A25" s="159">
        <f>'Class List'!A9</f>
        <v>7</v>
      </c>
      <c r="B25" s="162" t="str">
        <f>'Class List'!F9</f>
        <v xml:space="preserve">,  </v>
      </c>
      <c r="C25" s="163"/>
      <c r="D25" s="164">
        <f>PRELIM!AH25</f>
        <v>4</v>
      </c>
      <c r="E25" s="164"/>
      <c r="F25" s="164"/>
      <c r="G25" s="164"/>
      <c r="H25" s="158">
        <f>'Class List'!G9</f>
        <v>0</v>
      </c>
    </row>
    <row r="26" spans="1:8" ht="14" customHeight="1" x14ac:dyDescent="0.2">
      <c r="A26" s="159">
        <f>'Class List'!A10</f>
        <v>8</v>
      </c>
      <c r="B26" s="162" t="str">
        <f>'Class List'!F10</f>
        <v xml:space="preserve">,  </v>
      </c>
      <c r="C26" s="163"/>
      <c r="D26" s="164">
        <f>PRELIM!AH26</f>
        <v>4</v>
      </c>
      <c r="E26" s="164"/>
      <c r="F26" s="164"/>
      <c r="G26" s="164"/>
      <c r="H26" s="158">
        <f>'Class List'!G10</f>
        <v>0</v>
      </c>
    </row>
    <row r="27" spans="1:8" ht="14" customHeight="1" x14ac:dyDescent="0.2">
      <c r="A27" s="159">
        <f>'Class List'!A11</f>
        <v>9</v>
      </c>
      <c r="B27" s="162" t="str">
        <f>'Class List'!F11</f>
        <v xml:space="preserve">,  </v>
      </c>
      <c r="C27" s="163"/>
      <c r="D27" s="164">
        <f>PRELIM!AH27</f>
        <v>4</v>
      </c>
      <c r="E27" s="164"/>
      <c r="F27" s="164"/>
      <c r="G27" s="164"/>
      <c r="H27" s="158">
        <f>'Class List'!G11</f>
        <v>0</v>
      </c>
    </row>
    <row r="28" spans="1:8" ht="14" customHeight="1" x14ac:dyDescent="0.2">
      <c r="A28" s="159">
        <f>'Class List'!A12</f>
        <v>10</v>
      </c>
      <c r="B28" s="162" t="str">
        <f>'Class List'!F12</f>
        <v xml:space="preserve">,  </v>
      </c>
      <c r="C28" s="163"/>
      <c r="D28" s="164">
        <f>PRELIM!AH28</f>
        <v>4</v>
      </c>
      <c r="E28" s="164"/>
      <c r="F28" s="164"/>
      <c r="G28" s="164"/>
      <c r="H28" s="158">
        <f>'Class List'!G12</f>
        <v>0</v>
      </c>
    </row>
    <row r="29" spans="1:8" ht="14" customHeight="1" x14ac:dyDescent="0.2">
      <c r="A29" s="159">
        <f>'Class List'!A13</f>
        <v>11</v>
      </c>
      <c r="B29" s="162" t="str">
        <f>'Class List'!F13</f>
        <v xml:space="preserve">,  </v>
      </c>
      <c r="C29" s="163"/>
      <c r="D29" s="164">
        <f>PRELIM!AH29</f>
        <v>4</v>
      </c>
      <c r="E29" s="164"/>
      <c r="F29" s="164"/>
      <c r="G29" s="164"/>
      <c r="H29" s="158">
        <f>'Class List'!G13</f>
        <v>0</v>
      </c>
    </row>
    <row r="30" spans="1:8" ht="14" customHeight="1" x14ac:dyDescent="0.2">
      <c r="A30" s="159">
        <f>'Class List'!A14</f>
        <v>12</v>
      </c>
      <c r="B30" s="162" t="str">
        <f>'Class List'!F14</f>
        <v xml:space="preserve">,  </v>
      </c>
      <c r="C30" s="163"/>
      <c r="D30" s="164">
        <f>PRELIM!AH30</f>
        <v>4</v>
      </c>
      <c r="E30" s="164"/>
      <c r="F30" s="164"/>
      <c r="G30" s="164"/>
      <c r="H30" s="158">
        <f>'Class List'!G14</f>
        <v>0</v>
      </c>
    </row>
    <row r="31" spans="1:8" ht="14" customHeight="1" x14ac:dyDescent="0.2">
      <c r="A31" s="159">
        <f>'Class List'!A15</f>
        <v>13</v>
      </c>
      <c r="B31" s="162" t="str">
        <f>'Class List'!F15</f>
        <v xml:space="preserve">,  </v>
      </c>
      <c r="C31" s="163"/>
      <c r="D31" s="164">
        <f>PRELIM!AH31</f>
        <v>4</v>
      </c>
      <c r="E31" s="164"/>
      <c r="F31" s="164"/>
      <c r="G31" s="164"/>
      <c r="H31" s="158">
        <f>'Class List'!G15</f>
        <v>0</v>
      </c>
    </row>
    <row r="32" spans="1:8" ht="14" customHeight="1" x14ac:dyDescent="0.2">
      <c r="A32" s="159">
        <f>'Class List'!A16</f>
        <v>14</v>
      </c>
      <c r="B32" s="162" t="str">
        <f>'Class List'!F16</f>
        <v xml:space="preserve">,  </v>
      </c>
      <c r="C32" s="163"/>
      <c r="D32" s="164">
        <f>PRELIM!AH32</f>
        <v>4</v>
      </c>
      <c r="E32" s="164"/>
      <c r="F32" s="164"/>
      <c r="G32" s="164"/>
      <c r="H32" s="158">
        <f>'Class List'!G16</f>
        <v>0</v>
      </c>
    </row>
    <row r="33" spans="1:8" ht="14" customHeight="1" x14ac:dyDescent="0.2">
      <c r="A33" s="159">
        <f>'Class List'!A17</f>
        <v>15</v>
      </c>
      <c r="B33" s="162" t="str">
        <f>'Class List'!F17</f>
        <v xml:space="preserve">,  </v>
      </c>
      <c r="C33" s="163"/>
      <c r="D33" s="164">
        <f>PRELIM!AH33</f>
        <v>4</v>
      </c>
      <c r="E33" s="164"/>
      <c r="F33" s="164"/>
      <c r="G33" s="164"/>
      <c r="H33" s="158">
        <f>'Class List'!G17</f>
        <v>0</v>
      </c>
    </row>
    <row r="34" spans="1:8" ht="14" customHeight="1" x14ac:dyDescent="0.2">
      <c r="A34" s="159">
        <f>'Class List'!A18</f>
        <v>16</v>
      </c>
      <c r="B34" s="162" t="str">
        <f>'Class List'!F18</f>
        <v xml:space="preserve">,  </v>
      </c>
      <c r="C34" s="163"/>
      <c r="D34" s="164">
        <f>PRELIM!AH34</f>
        <v>4</v>
      </c>
      <c r="E34" s="164"/>
      <c r="F34" s="164"/>
      <c r="G34" s="164"/>
      <c r="H34" s="158">
        <f>'Class List'!G18</f>
        <v>0</v>
      </c>
    </row>
    <row r="35" spans="1:8" ht="14" customHeight="1" x14ac:dyDescent="0.2">
      <c r="A35" s="159">
        <f>'Class List'!A19</f>
        <v>17</v>
      </c>
      <c r="B35" s="162" t="str">
        <f>'Class List'!F19</f>
        <v xml:space="preserve">,  </v>
      </c>
      <c r="C35" s="163"/>
      <c r="D35" s="164">
        <f>PRELIM!AH35</f>
        <v>4</v>
      </c>
      <c r="E35" s="164"/>
      <c r="F35" s="164"/>
      <c r="G35" s="164"/>
      <c r="H35" s="158">
        <f>'Class List'!G19</f>
        <v>0</v>
      </c>
    </row>
    <row r="36" spans="1:8" ht="14" customHeight="1" x14ac:dyDescent="0.2">
      <c r="A36" s="159">
        <f>'Class List'!A20</f>
        <v>18</v>
      </c>
      <c r="B36" s="162" t="str">
        <f>'Class List'!F20</f>
        <v xml:space="preserve">,  </v>
      </c>
      <c r="C36" s="163"/>
      <c r="D36" s="164">
        <f>PRELIM!AH36</f>
        <v>4</v>
      </c>
      <c r="E36" s="164"/>
      <c r="F36" s="164"/>
      <c r="G36" s="164"/>
      <c r="H36" s="158">
        <f>'Class List'!G20</f>
        <v>0</v>
      </c>
    </row>
    <row r="37" spans="1:8" ht="14" customHeight="1" x14ac:dyDescent="0.2">
      <c r="A37" s="159">
        <f>'Class List'!A21</f>
        <v>19</v>
      </c>
      <c r="B37" s="162" t="str">
        <f>'Class List'!F21</f>
        <v xml:space="preserve">,  </v>
      </c>
      <c r="C37" s="163"/>
      <c r="D37" s="164">
        <f>PRELIM!AH37</f>
        <v>4</v>
      </c>
      <c r="E37" s="164"/>
      <c r="F37" s="164"/>
      <c r="G37" s="164"/>
      <c r="H37" s="158">
        <f>'Class List'!G21</f>
        <v>0</v>
      </c>
    </row>
    <row r="38" spans="1:8" ht="14" customHeight="1" x14ac:dyDescent="0.2">
      <c r="A38" s="159">
        <f>'Class List'!A22</f>
        <v>20</v>
      </c>
      <c r="B38" s="162" t="str">
        <f>'Class List'!F22</f>
        <v xml:space="preserve">,  </v>
      </c>
      <c r="C38" s="163"/>
      <c r="D38" s="164">
        <f>PRELIM!AH38</f>
        <v>4</v>
      </c>
      <c r="E38" s="164"/>
      <c r="F38" s="164"/>
      <c r="G38" s="164"/>
      <c r="H38" s="158">
        <f>'Class List'!G22</f>
        <v>0</v>
      </c>
    </row>
    <row r="39" spans="1:8" ht="14" customHeight="1" x14ac:dyDescent="0.2">
      <c r="A39" s="159">
        <f>'Class List'!A23</f>
        <v>21</v>
      </c>
      <c r="B39" s="162" t="str">
        <f>'Class List'!F23</f>
        <v xml:space="preserve">,  </v>
      </c>
      <c r="C39" s="163"/>
      <c r="D39" s="164">
        <f>PRELIM!AH39</f>
        <v>4</v>
      </c>
      <c r="E39" s="164"/>
      <c r="F39" s="164"/>
      <c r="G39" s="164"/>
      <c r="H39" s="158">
        <f>'Class List'!G23</f>
        <v>0</v>
      </c>
    </row>
    <row r="40" spans="1:8" ht="14" customHeight="1" x14ac:dyDescent="0.2">
      <c r="A40" s="159">
        <f>'Class List'!A24</f>
        <v>22</v>
      </c>
      <c r="B40" s="162" t="str">
        <f>'Class List'!F24</f>
        <v xml:space="preserve">,  </v>
      </c>
      <c r="C40" s="163"/>
      <c r="D40" s="164">
        <f>PRELIM!AH40</f>
        <v>4</v>
      </c>
      <c r="E40" s="164"/>
      <c r="F40" s="164"/>
      <c r="G40" s="164"/>
      <c r="H40" s="158">
        <f>'Class List'!G24</f>
        <v>0</v>
      </c>
    </row>
    <row r="41" spans="1:8" ht="14" customHeight="1" x14ac:dyDescent="0.2">
      <c r="A41" s="159">
        <f>'Class List'!A25</f>
        <v>23</v>
      </c>
      <c r="B41" s="162" t="str">
        <f>'Class List'!F25</f>
        <v xml:space="preserve">,  </v>
      </c>
      <c r="C41" s="163"/>
      <c r="D41" s="164">
        <f>PRELIM!AH41</f>
        <v>4</v>
      </c>
      <c r="E41" s="164"/>
      <c r="F41" s="164"/>
      <c r="G41" s="164"/>
      <c r="H41" s="158">
        <f>'Class List'!G25</f>
        <v>0</v>
      </c>
    </row>
    <row r="42" spans="1:8" ht="14" customHeight="1" x14ac:dyDescent="0.2">
      <c r="A42" s="159">
        <f>'Class List'!A26</f>
        <v>24</v>
      </c>
      <c r="B42" s="162" t="str">
        <f>'Class List'!F26</f>
        <v xml:space="preserve">,  </v>
      </c>
      <c r="C42" s="163"/>
      <c r="D42" s="164">
        <f>PRELIM!AH42</f>
        <v>4</v>
      </c>
      <c r="E42" s="164"/>
      <c r="F42" s="164"/>
      <c r="G42" s="164"/>
      <c r="H42" s="158">
        <f>'Class List'!G26</f>
        <v>0</v>
      </c>
    </row>
    <row r="43" spans="1:8" ht="14" customHeight="1" x14ac:dyDescent="0.2">
      <c r="A43" s="159">
        <f>'Class List'!A27</f>
        <v>25</v>
      </c>
      <c r="B43" s="162" t="str">
        <f>'Class List'!F27</f>
        <v xml:space="preserve">,  </v>
      </c>
      <c r="C43" s="163"/>
      <c r="D43" s="164">
        <f>PRELIM!AH43</f>
        <v>4</v>
      </c>
      <c r="E43" s="164"/>
      <c r="F43" s="164"/>
      <c r="G43" s="164"/>
      <c r="H43" s="158">
        <f>'Class List'!G27</f>
        <v>0</v>
      </c>
    </row>
    <row r="44" spans="1:8" ht="14" customHeight="1" x14ac:dyDescent="0.2">
      <c r="A44" s="159">
        <f>'Class List'!A28</f>
        <v>26</v>
      </c>
      <c r="B44" s="162" t="str">
        <f>'Class List'!F28</f>
        <v xml:space="preserve">,  </v>
      </c>
      <c r="C44" s="163"/>
      <c r="D44" s="164">
        <f>PRELIM!AH44</f>
        <v>4</v>
      </c>
      <c r="E44" s="164"/>
      <c r="F44" s="164"/>
      <c r="G44" s="164"/>
      <c r="H44" s="158">
        <f>'Class List'!G28</f>
        <v>0</v>
      </c>
    </row>
    <row r="45" spans="1:8" ht="14" customHeight="1" x14ac:dyDescent="0.2">
      <c r="A45" s="159">
        <f>'Class List'!A29</f>
        <v>27</v>
      </c>
      <c r="B45" s="162" t="str">
        <f>'Class List'!F29</f>
        <v xml:space="preserve">,  </v>
      </c>
      <c r="C45" s="163"/>
      <c r="D45" s="164">
        <f>PRELIM!AH45</f>
        <v>4</v>
      </c>
      <c r="E45" s="164"/>
      <c r="F45" s="164"/>
      <c r="G45" s="164"/>
      <c r="H45" s="158">
        <f>'Class List'!G29</f>
        <v>0</v>
      </c>
    </row>
    <row r="46" spans="1:8" ht="14" customHeight="1" x14ac:dyDescent="0.2">
      <c r="A46" s="159">
        <f>'Class List'!A30</f>
        <v>28</v>
      </c>
      <c r="B46" s="162" t="str">
        <f>'Class List'!F30</f>
        <v xml:space="preserve">,  </v>
      </c>
      <c r="C46" s="163"/>
      <c r="D46" s="164">
        <f>PRELIM!AH46</f>
        <v>4</v>
      </c>
      <c r="E46" s="164"/>
      <c r="F46" s="164"/>
      <c r="G46" s="164"/>
      <c r="H46" s="158">
        <f>'Class List'!G30</f>
        <v>0</v>
      </c>
    </row>
    <row r="47" spans="1:8" ht="14" customHeight="1" x14ac:dyDescent="0.2">
      <c r="A47" s="159">
        <f>'Class List'!A31</f>
        <v>29</v>
      </c>
      <c r="B47" s="162" t="str">
        <f>'Class List'!F31</f>
        <v xml:space="preserve">,  </v>
      </c>
      <c r="C47" s="163"/>
      <c r="D47" s="164">
        <f>PRELIM!AH47</f>
        <v>4</v>
      </c>
      <c r="E47" s="164"/>
      <c r="F47" s="164"/>
      <c r="G47" s="164"/>
      <c r="H47" s="158">
        <f>'Class List'!G31</f>
        <v>0</v>
      </c>
    </row>
    <row r="48" spans="1:8" ht="14" customHeight="1" x14ac:dyDescent="0.2">
      <c r="A48" s="159">
        <f>'Class List'!A32</f>
        <v>30</v>
      </c>
      <c r="B48" s="162" t="str">
        <f>'Class List'!F32</f>
        <v xml:space="preserve">,  </v>
      </c>
      <c r="C48" s="163"/>
      <c r="D48" s="164">
        <f>PRELIM!AH48</f>
        <v>4</v>
      </c>
      <c r="E48" s="164"/>
      <c r="F48" s="164"/>
      <c r="G48" s="164"/>
      <c r="H48" s="158">
        <f>'Class List'!G32</f>
        <v>0</v>
      </c>
    </row>
    <row r="49" spans="1:8" ht="14" customHeight="1" x14ac:dyDescent="0.2">
      <c r="A49" s="159">
        <f>'Class List'!A33</f>
        <v>31</v>
      </c>
      <c r="B49" s="162" t="str">
        <f>'Class List'!F33</f>
        <v xml:space="preserve">,  </v>
      </c>
      <c r="C49" s="163"/>
      <c r="D49" s="164">
        <f>PRELIM!AH49</f>
        <v>4</v>
      </c>
      <c r="E49" s="164"/>
      <c r="F49" s="164"/>
      <c r="G49" s="164"/>
      <c r="H49" s="158">
        <f>'Class List'!G33</f>
        <v>0</v>
      </c>
    </row>
    <row r="50" spans="1:8" ht="14" customHeight="1" x14ac:dyDescent="0.2">
      <c r="A50" s="159">
        <f>'Class List'!A34</f>
        <v>32</v>
      </c>
      <c r="B50" s="162" t="str">
        <f>'Class List'!F34</f>
        <v xml:space="preserve">,  </v>
      </c>
      <c r="C50" s="165"/>
      <c r="D50" s="164">
        <f>PRELIM!AH50</f>
        <v>4</v>
      </c>
      <c r="E50" s="164"/>
      <c r="F50" s="164"/>
      <c r="G50" s="164"/>
      <c r="H50" s="158">
        <f>'Class List'!G34</f>
        <v>0</v>
      </c>
    </row>
    <row r="51" spans="1:8" ht="14" customHeight="1" x14ac:dyDescent="0.2">
      <c r="A51" s="159">
        <f>'Class List'!A35</f>
        <v>33</v>
      </c>
      <c r="B51" s="162" t="str">
        <f>'Class List'!F35</f>
        <v xml:space="preserve">,  </v>
      </c>
      <c r="C51" s="163"/>
      <c r="D51" s="164">
        <f>PRELIM!AH51</f>
        <v>4</v>
      </c>
      <c r="E51" s="164"/>
      <c r="F51" s="164"/>
      <c r="G51" s="164"/>
      <c r="H51" s="158">
        <f>'Class List'!G35</f>
        <v>0</v>
      </c>
    </row>
    <row r="52" spans="1:8" ht="14" customHeight="1" x14ac:dyDescent="0.2">
      <c r="A52" s="159">
        <f>'Class List'!A36</f>
        <v>34</v>
      </c>
      <c r="B52" s="162" t="str">
        <f>'Class List'!F36</f>
        <v xml:space="preserve">,  </v>
      </c>
      <c r="C52" s="163"/>
      <c r="D52" s="164">
        <f>PRELIM!AH52</f>
        <v>4</v>
      </c>
      <c r="E52" s="164"/>
      <c r="F52" s="164"/>
      <c r="G52" s="164"/>
      <c r="H52" s="158">
        <f>'Class List'!G36</f>
        <v>0</v>
      </c>
    </row>
    <row r="53" spans="1:8" ht="14" customHeight="1" x14ac:dyDescent="0.2">
      <c r="A53" s="159">
        <f>'Class List'!A37</f>
        <v>35</v>
      </c>
      <c r="B53" s="162" t="str">
        <f>'Class List'!F37</f>
        <v xml:space="preserve">,  </v>
      </c>
      <c r="C53" s="163"/>
      <c r="D53" s="164">
        <f>PRELIM!AH53</f>
        <v>4</v>
      </c>
      <c r="E53" s="164"/>
      <c r="F53" s="164"/>
      <c r="G53" s="164"/>
      <c r="H53" s="158">
        <f>'Class List'!G37</f>
        <v>0</v>
      </c>
    </row>
    <row r="54" spans="1:8" ht="14" customHeight="1" x14ac:dyDescent="0.2">
      <c r="A54" s="159">
        <f>'Class List'!A38</f>
        <v>36</v>
      </c>
      <c r="B54" s="162" t="str">
        <f>'Class List'!F38</f>
        <v xml:space="preserve">,  </v>
      </c>
      <c r="C54" s="163"/>
      <c r="D54" s="164">
        <f>PRELIM!AH54</f>
        <v>4</v>
      </c>
      <c r="E54" s="164"/>
      <c r="F54" s="164"/>
      <c r="G54" s="164"/>
      <c r="H54" s="158">
        <f>'Class List'!G38</f>
        <v>0</v>
      </c>
    </row>
    <row r="55" spans="1:8" ht="14" customHeight="1" x14ac:dyDescent="0.2">
      <c r="A55" s="159">
        <f>'Class List'!A39</f>
        <v>37</v>
      </c>
      <c r="B55" s="162" t="str">
        <f>'Class List'!F39</f>
        <v xml:space="preserve">,  </v>
      </c>
      <c r="C55" s="163"/>
      <c r="D55" s="164">
        <f>PRELIM!AH55</f>
        <v>4</v>
      </c>
      <c r="E55" s="164"/>
      <c r="F55" s="164"/>
      <c r="G55" s="164"/>
      <c r="H55" s="158">
        <f>'Class List'!G39</f>
        <v>0</v>
      </c>
    </row>
    <row r="56" spans="1:8" ht="14" customHeight="1" x14ac:dyDescent="0.2">
      <c r="A56" s="159">
        <f>'Class List'!A40</f>
        <v>38</v>
      </c>
      <c r="B56" s="162" t="str">
        <f>'Class List'!F40</f>
        <v xml:space="preserve">,  </v>
      </c>
      <c r="C56" s="163"/>
      <c r="D56" s="164">
        <f>PRELIM!AH56</f>
        <v>4</v>
      </c>
      <c r="E56" s="164"/>
      <c r="F56" s="164"/>
      <c r="G56" s="164"/>
      <c r="H56" s="158">
        <f>'Class List'!G40</f>
        <v>0</v>
      </c>
    </row>
    <row r="57" spans="1:8" ht="14" customHeight="1" x14ac:dyDescent="0.2">
      <c r="A57" s="159">
        <f>'Class List'!A41</f>
        <v>39</v>
      </c>
      <c r="B57" s="162" t="str">
        <f>'Class List'!F41</f>
        <v xml:space="preserve">,  </v>
      </c>
      <c r="C57" s="163"/>
      <c r="D57" s="164">
        <f>PRELIM!AH57</f>
        <v>4</v>
      </c>
      <c r="E57" s="164"/>
      <c r="F57" s="164"/>
      <c r="G57" s="164"/>
      <c r="H57" s="158">
        <f>'Class List'!G41</f>
        <v>0</v>
      </c>
    </row>
    <row r="58" spans="1:8" ht="14" customHeight="1" x14ac:dyDescent="0.2">
      <c r="A58" s="159">
        <f>'Class List'!A42</f>
        <v>40</v>
      </c>
      <c r="B58" s="162" t="str">
        <f>'Class List'!F42</f>
        <v xml:space="preserve">,  </v>
      </c>
      <c r="C58" s="163"/>
      <c r="D58" s="164">
        <f>PRELIM!AH58</f>
        <v>4</v>
      </c>
      <c r="E58" s="164"/>
      <c r="F58" s="164"/>
      <c r="G58" s="164"/>
      <c r="H58" s="158">
        <f>'Class List'!G42</f>
        <v>0</v>
      </c>
    </row>
    <row r="59" spans="1:8" ht="14" customHeight="1" x14ac:dyDescent="0.2">
      <c r="A59" s="159">
        <f>'Class List'!A43</f>
        <v>41</v>
      </c>
      <c r="B59" s="162" t="str">
        <f>'Class List'!F43</f>
        <v xml:space="preserve">,  </v>
      </c>
      <c r="C59" s="163"/>
      <c r="D59" s="164">
        <f>PRELIM!AH59</f>
        <v>4</v>
      </c>
      <c r="E59" s="164"/>
      <c r="F59" s="164"/>
      <c r="G59" s="164"/>
      <c r="H59" s="158">
        <f>'Class List'!G43</f>
        <v>0</v>
      </c>
    </row>
    <row r="60" spans="1:8" ht="14" customHeight="1" x14ac:dyDescent="0.2">
      <c r="A60" s="159">
        <f>'Class List'!A44</f>
        <v>42</v>
      </c>
      <c r="B60" s="162" t="str">
        <f>'Class List'!F44</f>
        <v xml:space="preserve">,  </v>
      </c>
      <c r="C60" s="163"/>
      <c r="D60" s="164">
        <f>PRELIM!AH60</f>
        <v>4</v>
      </c>
      <c r="E60" s="164"/>
      <c r="F60" s="164"/>
      <c r="G60" s="164"/>
      <c r="H60" s="158">
        <f>'Class List'!G44</f>
        <v>0</v>
      </c>
    </row>
    <row r="61" spans="1:8" ht="14" customHeight="1" x14ac:dyDescent="0.2">
      <c r="A61" s="159">
        <f>'Class List'!A45</f>
        <v>43</v>
      </c>
      <c r="B61" s="162" t="str">
        <f>'Class List'!F45</f>
        <v xml:space="preserve">,  </v>
      </c>
      <c r="C61" s="163"/>
      <c r="D61" s="164">
        <f>PRELIM!AH61</f>
        <v>4</v>
      </c>
      <c r="E61" s="164"/>
      <c r="F61" s="164"/>
      <c r="G61" s="164"/>
      <c r="H61" s="158">
        <f>'Class List'!G45</f>
        <v>0</v>
      </c>
    </row>
    <row r="62" spans="1:8" ht="14" customHeight="1" x14ac:dyDescent="0.2">
      <c r="A62" s="159">
        <f>'Class List'!A46</f>
        <v>44</v>
      </c>
      <c r="B62" s="162" t="str">
        <f>'Class List'!F46</f>
        <v xml:space="preserve">,  </v>
      </c>
      <c r="C62" s="163"/>
      <c r="D62" s="164">
        <f>PRELIM!AH62</f>
        <v>4</v>
      </c>
      <c r="E62" s="164"/>
      <c r="F62" s="164"/>
      <c r="G62" s="164"/>
      <c r="H62" s="158">
        <f>'Class List'!G46</f>
        <v>0</v>
      </c>
    </row>
    <row r="63" spans="1:8" ht="14" customHeight="1" x14ac:dyDescent="0.2">
      <c r="A63" s="159">
        <f>'Class List'!A47</f>
        <v>45</v>
      </c>
      <c r="B63" s="162" t="str">
        <f>'Class List'!F47</f>
        <v xml:space="preserve">,  </v>
      </c>
      <c r="C63" s="163"/>
      <c r="D63" s="164">
        <f>PRELIM!AH63</f>
        <v>4</v>
      </c>
      <c r="E63" s="164"/>
      <c r="F63" s="164"/>
      <c r="G63" s="164"/>
      <c r="H63" s="158">
        <f>'Class List'!G47</f>
        <v>0</v>
      </c>
    </row>
    <row r="64" spans="1:8" ht="14" customHeight="1" x14ac:dyDescent="0.2">
      <c r="A64" s="159">
        <f>'Class List'!A48</f>
        <v>46</v>
      </c>
      <c r="B64" s="162" t="str">
        <f>'Class List'!F48</f>
        <v xml:space="preserve">,  </v>
      </c>
      <c r="C64" s="163"/>
      <c r="D64" s="164">
        <f>PRELIM!AH64</f>
        <v>4</v>
      </c>
      <c r="E64" s="164"/>
      <c r="F64" s="164"/>
      <c r="G64" s="164"/>
      <c r="H64" s="158">
        <f>'Class List'!G48</f>
        <v>0</v>
      </c>
    </row>
    <row r="65" spans="1:8" ht="14" customHeight="1" x14ac:dyDescent="0.2">
      <c r="A65" s="159">
        <f>'Class List'!A49</f>
        <v>47</v>
      </c>
      <c r="B65" s="162" t="str">
        <f>'Class List'!F49</f>
        <v xml:space="preserve">,  </v>
      </c>
      <c r="C65" s="163"/>
      <c r="D65" s="164">
        <f>PRELIM!AH65</f>
        <v>4</v>
      </c>
      <c r="E65" s="164"/>
      <c r="F65" s="164"/>
      <c r="G65" s="164"/>
      <c r="H65" s="158">
        <f>'Class List'!G49</f>
        <v>0</v>
      </c>
    </row>
    <row r="66" spans="1:8" ht="14" customHeight="1" x14ac:dyDescent="0.2">
      <c r="A66" s="159">
        <f>'Class List'!A50</f>
        <v>48</v>
      </c>
      <c r="B66" s="162" t="str">
        <f>'Class List'!F50</f>
        <v xml:space="preserve">,  </v>
      </c>
      <c r="C66" s="163"/>
      <c r="D66" s="164">
        <f>PRELIM!AH66</f>
        <v>4</v>
      </c>
      <c r="E66" s="164"/>
      <c r="F66" s="164"/>
      <c r="G66" s="164"/>
      <c r="H66" s="158">
        <f>'Class List'!G50</f>
        <v>0</v>
      </c>
    </row>
    <row r="67" spans="1:8" ht="14" customHeight="1" x14ac:dyDescent="0.2">
      <c r="A67" s="159">
        <f>'Class List'!A51</f>
        <v>49</v>
      </c>
      <c r="B67" s="162" t="str">
        <f>'Class List'!F51</f>
        <v xml:space="preserve">,  </v>
      </c>
      <c r="C67" s="163"/>
      <c r="D67" s="164">
        <f>PRELIM!AH67</f>
        <v>4</v>
      </c>
      <c r="E67" s="164"/>
      <c r="F67" s="164"/>
      <c r="G67" s="164"/>
      <c r="H67" s="158">
        <f>'Class List'!G51</f>
        <v>0</v>
      </c>
    </row>
    <row r="68" spans="1:8" ht="14" customHeight="1" x14ac:dyDescent="0.2">
      <c r="A68" s="159">
        <f>'Class List'!A52</f>
        <v>50</v>
      </c>
      <c r="B68" s="162" t="str">
        <f>'Class List'!F52</f>
        <v xml:space="preserve">,  </v>
      </c>
      <c r="C68" s="163"/>
      <c r="D68" s="164">
        <f>PRELIM!AH68</f>
        <v>4</v>
      </c>
      <c r="E68" s="164"/>
      <c r="F68" s="164"/>
      <c r="G68" s="164"/>
      <c r="H68" s="158">
        <f>'Class List'!G52</f>
        <v>0</v>
      </c>
    </row>
    <row r="69" spans="1:8" ht="14" customHeight="1" x14ac:dyDescent="0.2">
      <c r="A69" s="159">
        <f>'Class List'!A53</f>
        <v>51</v>
      </c>
      <c r="B69" s="162" t="str">
        <f>'Class List'!F53</f>
        <v xml:space="preserve">,  </v>
      </c>
      <c r="C69" s="163"/>
      <c r="D69" s="164">
        <f>PRELIM!AH69</f>
        <v>4</v>
      </c>
      <c r="E69" s="164"/>
      <c r="F69" s="164"/>
      <c r="G69" s="164"/>
      <c r="H69" s="158">
        <f>'Class List'!G53</f>
        <v>0</v>
      </c>
    </row>
    <row r="70" spans="1:8" ht="14" customHeight="1" x14ac:dyDescent="0.2">
      <c r="A70" s="159">
        <f>'Class List'!A54</f>
        <v>52</v>
      </c>
      <c r="B70" s="162" t="str">
        <f>'Class List'!F54</f>
        <v xml:space="preserve">,  </v>
      </c>
      <c r="C70" s="163"/>
      <c r="D70" s="164">
        <f>PRELIM!AH70</f>
        <v>4</v>
      </c>
      <c r="E70" s="164"/>
      <c r="F70" s="164"/>
      <c r="G70" s="164"/>
      <c r="H70" s="158">
        <f>'Class List'!G54</f>
        <v>0</v>
      </c>
    </row>
    <row r="71" spans="1:8" ht="14" customHeight="1" x14ac:dyDescent="0.2">
      <c r="A71" s="159">
        <f>'Class List'!A55</f>
        <v>53</v>
      </c>
      <c r="B71" s="162" t="str">
        <f>'Class List'!F55</f>
        <v xml:space="preserve">,  </v>
      </c>
      <c r="C71" s="163"/>
      <c r="D71" s="164">
        <f>PRELIM!AH71</f>
        <v>4</v>
      </c>
      <c r="E71" s="164"/>
      <c r="F71" s="164"/>
      <c r="G71" s="164"/>
      <c r="H71" s="158">
        <f>'Class List'!G55</f>
        <v>0</v>
      </c>
    </row>
    <row r="72" spans="1:8" ht="14" customHeight="1" x14ac:dyDescent="0.2">
      <c r="A72" s="159">
        <f>'Class List'!A56</f>
        <v>54</v>
      </c>
      <c r="B72" s="162" t="str">
        <f>'Class List'!F56</f>
        <v xml:space="preserve">,  </v>
      </c>
      <c r="C72" s="163"/>
      <c r="D72" s="164">
        <f>PRELIM!AH72</f>
        <v>4</v>
      </c>
      <c r="E72" s="164"/>
      <c r="F72" s="164"/>
      <c r="G72" s="164"/>
      <c r="H72" s="158">
        <f>'Class List'!G56</f>
        <v>0</v>
      </c>
    </row>
    <row r="73" spans="1:8" ht="14" customHeight="1" x14ac:dyDescent="0.2">
      <c r="A73" s="159">
        <f>'Class List'!A57</f>
        <v>55</v>
      </c>
      <c r="B73" s="162" t="str">
        <f>'Class List'!F57</f>
        <v xml:space="preserve">,  </v>
      </c>
      <c r="C73" s="163"/>
      <c r="D73" s="164">
        <f>PRELIM!AH73</f>
        <v>4</v>
      </c>
      <c r="E73" s="164"/>
      <c r="F73" s="164"/>
      <c r="G73" s="164"/>
      <c r="H73" s="158">
        <f>'Class List'!G57</f>
        <v>0</v>
      </c>
    </row>
    <row r="74" spans="1:8" ht="14" customHeight="1" x14ac:dyDescent="0.2">
      <c r="A74" s="159">
        <f>'Class List'!A58</f>
        <v>56</v>
      </c>
      <c r="B74" s="162" t="str">
        <f>'Class List'!F58</f>
        <v xml:space="preserve">,  </v>
      </c>
      <c r="C74" s="163"/>
      <c r="D74" s="164">
        <f>PRELIM!AH74</f>
        <v>4</v>
      </c>
      <c r="E74" s="164"/>
      <c r="F74" s="164"/>
      <c r="G74" s="164"/>
      <c r="H74" s="158">
        <f>'Class List'!G58</f>
        <v>0</v>
      </c>
    </row>
    <row r="75" spans="1:8" ht="14" customHeight="1" x14ac:dyDescent="0.2">
      <c r="A75" s="159">
        <f>'Class List'!A59</f>
        <v>57</v>
      </c>
      <c r="B75" s="162" t="str">
        <f>'Class List'!F59</f>
        <v xml:space="preserve">,  </v>
      </c>
      <c r="C75" s="163"/>
      <c r="D75" s="164">
        <f>PRELIM!AH75</f>
        <v>4</v>
      </c>
      <c r="E75" s="164"/>
      <c r="F75" s="164"/>
      <c r="G75" s="164"/>
      <c r="H75" s="158">
        <f>'Class List'!G59</f>
        <v>0</v>
      </c>
    </row>
    <row r="76" spans="1:8" ht="14" customHeight="1" x14ac:dyDescent="0.2">
      <c r="A76" s="159">
        <f>'Class List'!A60</f>
        <v>58</v>
      </c>
      <c r="B76" s="162" t="str">
        <f>'Class List'!F60</f>
        <v xml:space="preserve">,  </v>
      </c>
      <c r="C76" s="163"/>
      <c r="D76" s="164">
        <f>PRELIM!AH76</f>
        <v>4</v>
      </c>
      <c r="E76" s="164"/>
      <c r="F76" s="164"/>
      <c r="G76" s="164"/>
      <c r="H76" s="158">
        <f>'Class List'!G60</f>
        <v>0</v>
      </c>
    </row>
    <row r="77" spans="1:8" ht="14" customHeight="1" x14ac:dyDescent="0.2">
      <c r="A77" s="159">
        <f>'Class List'!A61</f>
        <v>59</v>
      </c>
      <c r="B77" s="162" t="str">
        <f>'Class List'!F61</f>
        <v xml:space="preserve">,  </v>
      </c>
      <c r="C77" s="163"/>
      <c r="D77" s="164">
        <f>PRELIM!AH77</f>
        <v>4</v>
      </c>
      <c r="E77" s="164"/>
      <c r="F77" s="164"/>
      <c r="G77" s="164"/>
      <c r="H77" s="158">
        <f>'Class List'!G61</f>
        <v>0</v>
      </c>
    </row>
    <row r="78" spans="1:8" ht="14" customHeight="1" x14ac:dyDescent="0.2">
      <c r="A78" s="159">
        <f>'Class List'!A62</f>
        <v>60</v>
      </c>
      <c r="B78" s="162" t="str">
        <f>'Class List'!F62</f>
        <v xml:space="preserve">,  </v>
      </c>
      <c r="C78" s="163"/>
      <c r="D78" s="164">
        <f>PRELIM!AH78</f>
        <v>4</v>
      </c>
      <c r="E78" s="164"/>
      <c r="F78" s="164"/>
      <c r="G78" s="164"/>
      <c r="H78" s="158">
        <f>'Class List'!G62</f>
        <v>0</v>
      </c>
    </row>
    <row r="79" spans="1:8" ht="14" customHeight="1" x14ac:dyDescent="0.2">
      <c r="A79" s="149"/>
      <c r="B79" s="149"/>
      <c r="C79" s="149"/>
      <c r="D79" s="149"/>
      <c r="E79" s="149"/>
      <c r="F79" s="149"/>
      <c r="G79" s="149"/>
      <c r="H79" s="149"/>
    </row>
    <row r="80" spans="1:8" x14ac:dyDescent="0.15">
      <c r="A80" s="171"/>
      <c r="B80" s="315"/>
      <c r="C80" s="315"/>
      <c r="D80" s="172"/>
      <c r="E80" s="149"/>
      <c r="F80" s="150"/>
      <c r="G80" s="150"/>
      <c r="H80" s="150"/>
    </row>
    <row r="81" spans="1:8" ht="14" customHeight="1" x14ac:dyDescent="0.15">
      <c r="A81" s="171"/>
      <c r="B81" s="316" t="s">
        <v>129</v>
      </c>
      <c r="C81" s="316"/>
      <c r="D81" s="172"/>
      <c r="E81" s="149"/>
      <c r="F81" s="151" t="s">
        <v>76</v>
      </c>
      <c r="G81" s="151"/>
      <c r="H81" s="151"/>
    </row>
    <row r="86" spans="1:8" x14ac:dyDescent="0.2">
      <c r="B86" s="314" t="s">
        <v>86</v>
      </c>
      <c r="C86" s="314"/>
    </row>
    <row r="87" spans="1:8" x14ac:dyDescent="0.2">
      <c r="B87" s="174" t="s">
        <v>131</v>
      </c>
      <c r="D87" s="175" t="s">
        <v>87</v>
      </c>
    </row>
    <row r="88" spans="1:8" x14ac:dyDescent="0.2">
      <c r="B88" s="174" t="s">
        <v>75</v>
      </c>
      <c r="C88" s="174"/>
      <c r="D88" s="175" t="s">
        <v>88</v>
      </c>
    </row>
    <row r="89" spans="1:8" x14ac:dyDescent="0.2">
      <c r="B89" s="174" t="s">
        <v>130</v>
      </c>
      <c r="C89" s="174"/>
      <c r="D89" s="175" t="s">
        <v>91</v>
      </c>
    </row>
    <row r="90" spans="1:8" x14ac:dyDescent="0.2">
      <c r="B90" s="174" t="s">
        <v>90</v>
      </c>
      <c r="C90" s="174"/>
      <c r="D90" s="175" t="s">
        <v>92</v>
      </c>
    </row>
    <row r="91" spans="1:8" x14ac:dyDescent="0.2">
      <c r="B91" s="174"/>
      <c r="C91" s="174"/>
      <c r="D91" s="175"/>
    </row>
    <row r="92" spans="1:8" x14ac:dyDescent="0.2">
      <c r="B92" s="174"/>
      <c r="C92" s="174"/>
      <c r="D92" s="175"/>
    </row>
    <row r="93" spans="1:8" x14ac:dyDescent="0.2">
      <c r="B93" s="173"/>
      <c r="C93" s="173"/>
      <c r="D93" s="175"/>
    </row>
    <row r="94" spans="1:8" x14ac:dyDescent="0.2">
      <c r="D94" s="175"/>
    </row>
    <row r="95" spans="1:8" x14ac:dyDescent="0.2">
      <c r="D95" s="175"/>
    </row>
    <row r="96" spans="1:8" x14ac:dyDescent="0.2">
      <c r="D96" s="175"/>
    </row>
  </sheetData>
  <sheetProtection algorithmName="SHA-512" hashValue="TwPgIm0pM4pyBoP0nMcolKkWSF/INuoDXUkVdu+9aVwAqpe+1Dy4xrb3eCNnfTuBbqiXXMJ4CHHsEg2LS4Bhuw==" saltValue="ODU4pROS3iZqqAQM1GOn+w==" spinCount="100000" sheet="1" objects="1" scenarios="1"/>
  <mergeCells count="15">
    <mergeCell ref="B86:C86"/>
    <mergeCell ref="B80:C80"/>
    <mergeCell ref="B81:C81"/>
    <mergeCell ref="A11:H11"/>
    <mergeCell ref="A10:H10"/>
    <mergeCell ref="D16:F16"/>
    <mergeCell ref="G16:G17"/>
    <mergeCell ref="A16:A17"/>
    <mergeCell ref="B16:C17"/>
    <mergeCell ref="H16:H17"/>
    <mergeCell ref="A2:H2"/>
    <mergeCell ref="A3:H3"/>
    <mergeCell ref="A4:H4"/>
    <mergeCell ref="A6:H6"/>
    <mergeCell ref="A7:H7"/>
  </mergeCells>
  <conditionalFormatting sqref="H80:H81">
    <cfRule type="cellIs" dxfId="2" priority="1" operator="equal">
      <formula>"failed"</formula>
    </cfRule>
  </conditionalFormatting>
  <printOptions horizontalCentered="1"/>
  <pageMargins left="0.25" right="0.25" top="0.25" bottom="0.25" header="0.3" footer="0.3"/>
  <pageSetup paperSize="14" scale="91" orientation="portrait" horizontalDpi="0" verticalDpi="0" copies="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2F0E-A7D9-1E42-B86B-AE1C3E3318FB}">
  <sheetPr>
    <tabColor rgb="FF8AFFE6"/>
  </sheetPr>
  <dimension ref="A2:J96"/>
  <sheetViews>
    <sheetView topLeftCell="A82" zoomScaleNormal="100" workbookViewId="0">
      <selection activeCell="B87" sqref="B87"/>
    </sheetView>
  </sheetViews>
  <sheetFormatPr baseColWidth="10" defaultRowHeight="16" x14ac:dyDescent="0.2"/>
  <cols>
    <col min="1" max="1" width="3.83203125" style="129" bestFit="1" customWidth="1"/>
    <col min="2" max="2" width="17.5" style="19" customWidth="1"/>
    <col min="3" max="3" width="12.33203125" style="19" customWidth="1"/>
    <col min="4" max="4" width="14.6640625" style="19" customWidth="1"/>
    <col min="5" max="5" width="14.1640625" style="19" customWidth="1"/>
    <col min="6" max="6" width="12.6640625" style="19" customWidth="1"/>
    <col min="7" max="7" width="13.6640625" style="19" customWidth="1"/>
    <col min="8" max="8" width="15.33203125" style="19" hidden="1" customWidth="1"/>
    <col min="9" max="16384" width="10.83203125" style="19"/>
  </cols>
  <sheetData>
    <row r="2" spans="1:10" x14ac:dyDescent="0.2">
      <c r="A2" s="310" t="s">
        <v>66</v>
      </c>
      <c r="B2" s="310"/>
      <c r="C2" s="310"/>
      <c r="D2" s="310"/>
      <c r="E2" s="310"/>
      <c r="F2" s="310"/>
      <c r="G2" s="310"/>
      <c r="H2" s="310"/>
      <c r="I2" s="125"/>
    </row>
    <row r="3" spans="1:10" x14ac:dyDescent="0.2">
      <c r="A3" s="310" t="s">
        <v>67</v>
      </c>
      <c r="B3" s="310"/>
      <c r="C3" s="310"/>
      <c r="D3" s="310"/>
      <c r="E3" s="310"/>
      <c r="F3" s="310"/>
      <c r="G3" s="310"/>
      <c r="H3" s="310"/>
      <c r="I3" s="125"/>
    </row>
    <row r="4" spans="1:10" x14ac:dyDescent="0.2">
      <c r="A4" s="311" t="s">
        <v>68</v>
      </c>
      <c r="B4" s="311"/>
      <c r="C4" s="311"/>
      <c r="D4" s="311"/>
      <c r="E4" s="311"/>
      <c r="F4" s="311"/>
      <c r="G4" s="311"/>
      <c r="H4" s="311"/>
      <c r="I4" s="125"/>
    </row>
    <row r="5" spans="1:10" ht="6" customHeight="1" x14ac:dyDescent="0.2">
      <c r="A5" s="126"/>
      <c r="B5" s="125"/>
      <c r="C5" s="126"/>
      <c r="D5" s="125"/>
      <c r="E5" s="125"/>
      <c r="F5" s="125"/>
      <c r="G5" s="125"/>
      <c r="H5" s="125"/>
      <c r="I5" s="125"/>
    </row>
    <row r="6" spans="1:10" x14ac:dyDescent="0.2">
      <c r="A6" s="312" t="s">
        <v>0</v>
      </c>
      <c r="B6" s="312"/>
      <c r="C6" s="312"/>
      <c r="D6" s="312"/>
      <c r="E6" s="312"/>
      <c r="F6" s="312"/>
      <c r="G6" s="312"/>
      <c r="H6" s="312"/>
      <c r="I6" s="125"/>
    </row>
    <row r="7" spans="1:10" ht="20" customHeight="1" x14ac:dyDescent="0.2">
      <c r="A7" s="313" t="s">
        <v>1</v>
      </c>
      <c r="B7" s="313"/>
      <c r="C7" s="313"/>
      <c r="D7" s="313"/>
      <c r="E7" s="313"/>
      <c r="F7" s="313"/>
      <c r="G7" s="313"/>
      <c r="H7" s="313"/>
      <c r="I7" s="125"/>
    </row>
    <row r="8" spans="1:10" ht="3" customHeight="1" x14ac:dyDescent="0.2">
      <c r="A8" s="127"/>
      <c r="B8" s="128"/>
      <c r="C8" s="127"/>
      <c r="D8" s="127"/>
      <c r="E8" s="127"/>
      <c r="F8" s="127"/>
      <c r="G8" s="127"/>
      <c r="H8" s="127"/>
      <c r="I8" s="125"/>
    </row>
    <row r="9" spans="1:10" ht="6" customHeight="1" x14ac:dyDescent="0.2">
      <c r="A9" s="125"/>
      <c r="B9" s="125"/>
      <c r="C9" s="125"/>
      <c r="D9" s="125"/>
      <c r="E9" s="125"/>
      <c r="F9" s="125"/>
      <c r="G9" s="125"/>
      <c r="H9" s="125"/>
      <c r="I9" s="125"/>
    </row>
    <row r="10" spans="1:10" x14ac:dyDescent="0.2">
      <c r="A10" s="317" t="s">
        <v>69</v>
      </c>
      <c r="B10" s="317"/>
      <c r="C10" s="317"/>
      <c r="D10" s="317"/>
      <c r="E10" s="317"/>
      <c r="F10" s="317"/>
      <c r="G10" s="317"/>
      <c r="H10" s="317"/>
      <c r="I10" s="125"/>
    </row>
    <row r="11" spans="1:10" x14ac:dyDescent="0.2">
      <c r="A11" s="310" t="str">
        <f>'Class List'!J6</f>
        <v>First Semester, A.Y. 2026 - 2027</v>
      </c>
      <c r="B11" s="310"/>
      <c r="C11" s="310"/>
      <c r="D11" s="310"/>
      <c r="E11" s="310"/>
      <c r="F11" s="310"/>
      <c r="G11" s="310"/>
      <c r="H11" s="310"/>
      <c r="I11" s="125"/>
    </row>
    <row r="12" spans="1:10" ht="5" customHeight="1" x14ac:dyDescent="0.2"/>
    <row r="13" spans="1:10" s="130" customFormat="1" x14ac:dyDescent="0.2">
      <c r="A13" s="152"/>
      <c r="B13" s="153" t="s">
        <v>77</v>
      </c>
      <c r="C13" s="169" t="str">
        <f>'Class List'!J9</f>
        <v>ABM 1</v>
      </c>
      <c r="D13" s="154"/>
      <c r="E13" s="153" t="s">
        <v>127</v>
      </c>
      <c r="F13" s="251" t="str">
        <f>'Class List'!J12</f>
        <v>BSHM 1 - DAISY</v>
      </c>
      <c r="G13" s="169"/>
      <c r="H13" s="170"/>
      <c r="J13" s="19"/>
    </row>
    <row r="14" spans="1:10" s="130" customFormat="1" x14ac:dyDescent="0.2">
      <c r="A14" s="152"/>
      <c r="B14" s="153" t="s">
        <v>78</v>
      </c>
      <c r="C14" s="169" t="str">
        <f>'Class List'!J10</f>
        <v>ORGANZIATION AND MANAGEMENT</v>
      </c>
      <c r="D14" s="154"/>
      <c r="E14" s="155" t="s">
        <v>41</v>
      </c>
      <c r="F14" s="156" t="str">
        <f>'Class List'!J8</f>
        <v>MARL VINCENT L. LABITAD, MPA</v>
      </c>
      <c r="G14" s="156"/>
      <c r="H14" s="157"/>
      <c r="J14" s="19"/>
    </row>
    <row r="15" spans="1:10" x14ac:dyDescent="0.2">
      <c r="A15" s="149"/>
      <c r="B15" s="149"/>
      <c r="C15" s="149"/>
      <c r="D15" s="149"/>
      <c r="E15" s="149"/>
      <c r="F15" s="149"/>
      <c r="G15" s="149"/>
      <c r="H15" s="149"/>
    </row>
    <row r="16" spans="1:10" s="131" customFormat="1" ht="14" customHeight="1" x14ac:dyDescent="0.2">
      <c r="A16" s="322" t="s">
        <v>70</v>
      </c>
      <c r="B16" s="324" t="s">
        <v>71</v>
      </c>
      <c r="C16" s="325"/>
      <c r="D16" s="318" t="s">
        <v>72</v>
      </c>
      <c r="E16" s="319"/>
      <c r="F16" s="320"/>
      <c r="G16" s="321" t="s">
        <v>10</v>
      </c>
      <c r="H16" s="321" t="s">
        <v>83</v>
      </c>
    </row>
    <row r="17" spans="1:8" s="131" customFormat="1" ht="14" customHeight="1" x14ac:dyDescent="0.2">
      <c r="A17" s="323"/>
      <c r="B17" s="326"/>
      <c r="C17" s="327"/>
      <c r="D17" s="158" t="s">
        <v>73</v>
      </c>
      <c r="E17" s="158" t="s">
        <v>74</v>
      </c>
      <c r="F17" s="158" t="s">
        <v>24</v>
      </c>
      <c r="G17" s="321"/>
      <c r="H17" s="321"/>
    </row>
    <row r="18" spans="1:8" ht="14" customHeight="1" x14ac:dyDescent="0.2">
      <c r="A18" s="159"/>
      <c r="B18" s="160"/>
      <c r="C18" s="161"/>
      <c r="D18" s="159"/>
      <c r="E18" s="159"/>
      <c r="F18" s="159"/>
      <c r="G18" s="159"/>
      <c r="H18" s="159"/>
    </row>
    <row r="19" spans="1:8" ht="14" customHeight="1" x14ac:dyDescent="0.2">
      <c r="A19" s="159">
        <f>'Class List'!A3</f>
        <v>1</v>
      </c>
      <c r="B19" s="162" t="str">
        <f>'Class List'!F3</f>
        <v>BACALSO, HELEN S.</v>
      </c>
      <c r="C19" s="163"/>
      <c r="D19" s="164">
        <f>PRELIM!AH19</f>
        <v>4</v>
      </c>
      <c r="E19" s="164">
        <f>MIDTERM!AL19</f>
        <v>4</v>
      </c>
      <c r="F19" s="164"/>
      <c r="G19" s="164"/>
      <c r="H19" s="158" t="str">
        <f>'Class List'!G3</f>
        <v>BSED-MATH</v>
      </c>
    </row>
    <row r="20" spans="1:8" ht="14" customHeight="1" x14ac:dyDescent="0.2">
      <c r="A20" s="159">
        <f>'Class List'!A4</f>
        <v>2</v>
      </c>
      <c r="B20" s="162" t="str">
        <f>'Class List'!F4</f>
        <v xml:space="preserve">,  </v>
      </c>
      <c r="C20" s="163"/>
      <c r="D20" s="164">
        <f>PRELIM!AH20</f>
        <v>4</v>
      </c>
      <c r="E20" s="164">
        <f>MIDTERM!AL20</f>
        <v>4</v>
      </c>
      <c r="F20" s="164"/>
      <c r="G20" s="164"/>
      <c r="H20" s="158">
        <f>'Class List'!G4</f>
        <v>0</v>
      </c>
    </row>
    <row r="21" spans="1:8" ht="14" customHeight="1" x14ac:dyDescent="0.2">
      <c r="A21" s="159">
        <f>'Class List'!A5</f>
        <v>3</v>
      </c>
      <c r="B21" s="162" t="str">
        <f>'Class List'!F5</f>
        <v xml:space="preserve">,  </v>
      </c>
      <c r="C21" s="163"/>
      <c r="D21" s="164">
        <f>PRELIM!AH21</f>
        <v>4</v>
      </c>
      <c r="E21" s="164">
        <f>MIDTERM!AL21</f>
        <v>4</v>
      </c>
      <c r="F21" s="164"/>
      <c r="G21" s="164"/>
      <c r="H21" s="158">
        <f>'Class List'!G5</f>
        <v>0</v>
      </c>
    </row>
    <row r="22" spans="1:8" ht="14" customHeight="1" x14ac:dyDescent="0.2">
      <c r="A22" s="159">
        <f>'Class List'!A6</f>
        <v>4</v>
      </c>
      <c r="B22" s="162" t="str">
        <f>'Class List'!F6</f>
        <v xml:space="preserve">,  </v>
      </c>
      <c r="C22" s="163"/>
      <c r="D22" s="164">
        <f>PRELIM!AH22</f>
        <v>4</v>
      </c>
      <c r="E22" s="164">
        <f>MIDTERM!AL22</f>
        <v>4</v>
      </c>
      <c r="F22" s="164"/>
      <c r="G22" s="164"/>
      <c r="H22" s="158">
        <f>'Class List'!G6</f>
        <v>0</v>
      </c>
    </row>
    <row r="23" spans="1:8" ht="14" customHeight="1" x14ac:dyDescent="0.2">
      <c r="A23" s="159">
        <f>'Class List'!A7</f>
        <v>5</v>
      </c>
      <c r="B23" s="162" t="str">
        <f>'Class List'!F7</f>
        <v xml:space="preserve">,  </v>
      </c>
      <c r="C23" s="163"/>
      <c r="D23" s="164">
        <f>PRELIM!AH23</f>
        <v>4</v>
      </c>
      <c r="E23" s="164">
        <f>MIDTERM!AL23</f>
        <v>4</v>
      </c>
      <c r="F23" s="164"/>
      <c r="G23" s="164"/>
      <c r="H23" s="158">
        <f>'Class List'!G7</f>
        <v>0</v>
      </c>
    </row>
    <row r="24" spans="1:8" ht="14" customHeight="1" x14ac:dyDescent="0.2">
      <c r="A24" s="159">
        <f>'Class List'!A8</f>
        <v>6</v>
      </c>
      <c r="B24" s="162" t="str">
        <f>'Class List'!F8</f>
        <v xml:space="preserve">,  </v>
      </c>
      <c r="C24" s="163"/>
      <c r="D24" s="164">
        <f>PRELIM!AH24</f>
        <v>4</v>
      </c>
      <c r="E24" s="164">
        <f>MIDTERM!AL24</f>
        <v>4</v>
      </c>
      <c r="F24" s="164"/>
      <c r="G24" s="164"/>
      <c r="H24" s="158">
        <f>'Class List'!G8</f>
        <v>0</v>
      </c>
    </row>
    <row r="25" spans="1:8" ht="14" customHeight="1" x14ac:dyDescent="0.2">
      <c r="A25" s="159">
        <f>'Class List'!A9</f>
        <v>7</v>
      </c>
      <c r="B25" s="162" t="str">
        <f>'Class List'!F9</f>
        <v xml:space="preserve">,  </v>
      </c>
      <c r="C25" s="163"/>
      <c r="D25" s="164">
        <f>PRELIM!AH25</f>
        <v>4</v>
      </c>
      <c r="E25" s="164">
        <f>MIDTERM!AL25</f>
        <v>4</v>
      </c>
      <c r="F25" s="164"/>
      <c r="G25" s="164"/>
      <c r="H25" s="158">
        <f>'Class List'!G9</f>
        <v>0</v>
      </c>
    </row>
    <row r="26" spans="1:8" ht="14" customHeight="1" x14ac:dyDescent="0.2">
      <c r="A26" s="159">
        <f>'Class List'!A10</f>
        <v>8</v>
      </c>
      <c r="B26" s="162" t="str">
        <f>'Class List'!F10</f>
        <v xml:space="preserve">,  </v>
      </c>
      <c r="C26" s="163"/>
      <c r="D26" s="164">
        <f>PRELIM!AH26</f>
        <v>4</v>
      </c>
      <c r="E26" s="164">
        <f>MIDTERM!AL26</f>
        <v>4</v>
      </c>
      <c r="F26" s="164"/>
      <c r="G26" s="164"/>
      <c r="H26" s="158">
        <f>'Class List'!G10</f>
        <v>0</v>
      </c>
    </row>
    <row r="27" spans="1:8" ht="14" customHeight="1" x14ac:dyDescent="0.2">
      <c r="A27" s="159">
        <f>'Class List'!A11</f>
        <v>9</v>
      </c>
      <c r="B27" s="162" t="str">
        <f>'Class List'!F11</f>
        <v xml:space="preserve">,  </v>
      </c>
      <c r="C27" s="163"/>
      <c r="D27" s="164">
        <f>PRELIM!AH27</f>
        <v>4</v>
      </c>
      <c r="E27" s="164">
        <f>MIDTERM!AL27</f>
        <v>4</v>
      </c>
      <c r="F27" s="164"/>
      <c r="G27" s="164"/>
      <c r="H27" s="158">
        <f>'Class List'!G11</f>
        <v>0</v>
      </c>
    </row>
    <row r="28" spans="1:8" ht="14" customHeight="1" x14ac:dyDescent="0.2">
      <c r="A28" s="159">
        <f>'Class List'!A12</f>
        <v>10</v>
      </c>
      <c r="B28" s="162" t="str">
        <f>'Class List'!F12</f>
        <v xml:space="preserve">,  </v>
      </c>
      <c r="C28" s="163"/>
      <c r="D28" s="164">
        <f>PRELIM!AH28</f>
        <v>4</v>
      </c>
      <c r="E28" s="164">
        <f>MIDTERM!AL28</f>
        <v>4</v>
      </c>
      <c r="F28" s="164"/>
      <c r="G28" s="164"/>
      <c r="H28" s="158">
        <f>'Class List'!G12</f>
        <v>0</v>
      </c>
    </row>
    <row r="29" spans="1:8" ht="14" customHeight="1" x14ac:dyDescent="0.2">
      <c r="A29" s="159">
        <f>'Class List'!A13</f>
        <v>11</v>
      </c>
      <c r="B29" s="162" t="str">
        <f>'Class List'!F13</f>
        <v xml:space="preserve">,  </v>
      </c>
      <c r="C29" s="163"/>
      <c r="D29" s="164">
        <f>PRELIM!AH29</f>
        <v>4</v>
      </c>
      <c r="E29" s="164">
        <f>MIDTERM!AL29</f>
        <v>4</v>
      </c>
      <c r="F29" s="164"/>
      <c r="G29" s="164"/>
      <c r="H29" s="158">
        <f>'Class List'!G13</f>
        <v>0</v>
      </c>
    </row>
    <row r="30" spans="1:8" ht="14" customHeight="1" x14ac:dyDescent="0.2">
      <c r="A30" s="159">
        <f>'Class List'!A14</f>
        <v>12</v>
      </c>
      <c r="B30" s="162" t="str">
        <f>'Class List'!F14</f>
        <v xml:space="preserve">,  </v>
      </c>
      <c r="C30" s="163"/>
      <c r="D30" s="164">
        <f>PRELIM!AH30</f>
        <v>4</v>
      </c>
      <c r="E30" s="164">
        <f>MIDTERM!AL30</f>
        <v>4</v>
      </c>
      <c r="F30" s="164"/>
      <c r="G30" s="164"/>
      <c r="H30" s="158">
        <f>'Class List'!G14</f>
        <v>0</v>
      </c>
    </row>
    <row r="31" spans="1:8" ht="14" customHeight="1" x14ac:dyDescent="0.2">
      <c r="A31" s="159">
        <f>'Class List'!A15</f>
        <v>13</v>
      </c>
      <c r="B31" s="162" t="str">
        <f>'Class List'!F15</f>
        <v xml:space="preserve">,  </v>
      </c>
      <c r="C31" s="163"/>
      <c r="D31" s="164">
        <f>PRELIM!AH31</f>
        <v>4</v>
      </c>
      <c r="E31" s="164">
        <f>MIDTERM!AL31</f>
        <v>4</v>
      </c>
      <c r="F31" s="164"/>
      <c r="G31" s="164"/>
      <c r="H31" s="158">
        <f>'Class List'!G15</f>
        <v>0</v>
      </c>
    </row>
    <row r="32" spans="1:8" ht="14" customHeight="1" x14ac:dyDescent="0.2">
      <c r="A32" s="159">
        <f>'Class List'!A16</f>
        <v>14</v>
      </c>
      <c r="B32" s="162" t="str">
        <f>'Class List'!F16</f>
        <v xml:space="preserve">,  </v>
      </c>
      <c r="C32" s="163"/>
      <c r="D32" s="164">
        <f>PRELIM!AH32</f>
        <v>4</v>
      </c>
      <c r="E32" s="164">
        <f>MIDTERM!AL32</f>
        <v>4</v>
      </c>
      <c r="F32" s="164"/>
      <c r="G32" s="164"/>
      <c r="H32" s="158">
        <f>'Class List'!G16</f>
        <v>0</v>
      </c>
    </row>
    <row r="33" spans="1:8" ht="14" customHeight="1" x14ac:dyDescent="0.2">
      <c r="A33" s="159">
        <f>'Class List'!A17</f>
        <v>15</v>
      </c>
      <c r="B33" s="162" t="str">
        <f>'Class List'!F17</f>
        <v xml:space="preserve">,  </v>
      </c>
      <c r="C33" s="163"/>
      <c r="D33" s="164">
        <f>PRELIM!AH33</f>
        <v>4</v>
      </c>
      <c r="E33" s="164">
        <f>MIDTERM!AL33</f>
        <v>4</v>
      </c>
      <c r="F33" s="164"/>
      <c r="G33" s="164"/>
      <c r="H33" s="158">
        <f>'Class List'!G17</f>
        <v>0</v>
      </c>
    </row>
    <row r="34" spans="1:8" ht="14" customHeight="1" x14ac:dyDescent="0.2">
      <c r="A34" s="159">
        <f>'Class List'!A18</f>
        <v>16</v>
      </c>
      <c r="B34" s="162" t="str">
        <f>'Class List'!F18</f>
        <v xml:space="preserve">,  </v>
      </c>
      <c r="C34" s="163"/>
      <c r="D34" s="164">
        <f>PRELIM!AH34</f>
        <v>4</v>
      </c>
      <c r="E34" s="164">
        <f>MIDTERM!AL34</f>
        <v>4</v>
      </c>
      <c r="F34" s="164"/>
      <c r="G34" s="164"/>
      <c r="H34" s="158">
        <f>'Class List'!G18</f>
        <v>0</v>
      </c>
    </row>
    <row r="35" spans="1:8" ht="14" customHeight="1" x14ac:dyDescent="0.2">
      <c r="A35" s="159">
        <f>'Class List'!A19</f>
        <v>17</v>
      </c>
      <c r="B35" s="162" t="str">
        <f>'Class List'!F19</f>
        <v xml:space="preserve">,  </v>
      </c>
      <c r="C35" s="163"/>
      <c r="D35" s="164">
        <f>PRELIM!AH35</f>
        <v>4</v>
      </c>
      <c r="E35" s="164">
        <f>MIDTERM!AL35</f>
        <v>4</v>
      </c>
      <c r="F35" s="164"/>
      <c r="G35" s="164"/>
      <c r="H35" s="158">
        <f>'Class List'!G19</f>
        <v>0</v>
      </c>
    </row>
    <row r="36" spans="1:8" ht="14" customHeight="1" x14ac:dyDescent="0.2">
      <c r="A36" s="159">
        <f>'Class List'!A20</f>
        <v>18</v>
      </c>
      <c r="B36" s="162" t="str">
        <f>'Class List'!F20</f>
        <v xml:space="preserve">,  </v>
      </c>
      <c r="C36" s="163"/>
      <c r="D36" s="164">
        <f>PRELIM!AH36</f>
        <v>4</v>
      </c>
      <c r="E36" s="164">
        <f>MIDTERM!AL36</f>
        <v>4</v>
      </c>
      <c r="F36" s="164"/>
      <c r="G36" s="164"/>
      <c r="H36" s="158">
        <f>'Class List'!G20</f>
        <v>0</v>
      </c>
    </row>
    <row r="37" spans="1:8" ht="14" customHeight="1" x14ac:dyDescent="0.2">
      <c r="A37" s="159">
        <f>'Class List'!A21</f>
        <v>19</v>
      </c>
      <c r="B37" s="162" t="str">
        <f>'Class List'!F21</f>
        <v xml:space="preserve">,  </v>
      </c>
      <c r="C37" s="163"/>
      <c r="D37" s="164">
        <f>PRELIM!AH37</f>
        <v>4</v>
      </c>
      <c r="E37" s="164">
        <f>MIDTERM!AL37</f>
        <v>4</v>
      </c>
      <c r="F37" s="164"/>
      <c r="G37" s="164"/>
      <c r="H37" s="158">
        <f>'Class List'!G21</f>
        <v>0</v>
      </c>
    </row>
    <row r="38" spans="1:8" ht="14" customHeight="1" x14ac:dyDescent="0.2">
      <c r="A38" s="159">
        <f>'Class List'!A22</f>
        <v>20</v>
      </c>
      <c r="B38" s="162" t="str">
        <f>'Class List'!F22</f>
        <v xml:space="preserve">,  </v>
      </c>
      <c r="C38" s="163"/>
      <c r="D38" s="164">
        <f>PRELIM!AH38</f>
        <v>4</v>
      </c>
      <c r="E38" s="164">
        <f>MIDTERM!AL38</f>
        <v>4</v>
      </c>
      <c r="F38" s="164"/>
      <c r="G38" s="164"/>
      <c r="H38" s="158">
        <f>'Class List'!G22</f>
        <v>0</v>
      </c>
    </row>
    <row r="39" spans="1:8" ht="14" customHeight="1" x14ac:dyDescent="0.2">
      <c r="A39" s="159">
        <f>'Class List'!A23</f>
        <v>21</v>
      </c>
      <c r="B39" s="162" t="str">
        <f>'Class List'!F23</f>
        <v xml:space="preserve">,  </v>
      </c>
      <c r="C39" s="163"/>
      <c r="D39" s="164">
        <f>PRELIM!AH39</f>
        <v>4</v>
      </c>
      <c r="E39" s="164">
        <f>MIDTERM!AL39</f>
        <v>4</v>
      </c>
      <c r="F39" s="164"/>
      <c r="G39" s="164"/>
      <c r="H39" s="158">
        <f>'Class List'!G23</f>
        <v>0</v>
      </c>
    </row>
    <row r="40" spans="1:8" ht="14" customHeight="1" x14ac:dyDescent="0.2">
      <c r="A40" s="159">
        <f>'Class List'!A24</f>
        <v>22</v>
      </c>
      <c r="B40" s="162" t="str">
        <f>'Class List'!F24</f>
        <v xml:space="preserve">,  </v>
      </c>
      <c r="C40" s="163"/>
      <c r="D40" s="164">
        <f>PRELIM!AH40</f>
        <v>4</v>
      </c>
      <c r="E40" s="164">
        <f>MIDTERM!AL40</f>
        <v>4</v>
      </c>
      <c r="F40" s="164"/>
      <c r="G40" s="164"/>
      <c r="H40" s="158">
        <f>'Class List'!G24</f>
        <v>0</v>
      </c>
    </row>
    <row r="41" spans="1:8" ht="14" customHeight="1" x14ac:dyDescent="0.2">
      <c r="A41" s="159">
        <f>'Class List'!A25</f>
        <v>23</v>
      </c>
      <c r="B41" s="162" t="str">
        <f>'Class List'!F25</f>
        <v xml:space="preserve">,  </v>
      </c>
      <c r="C41" s="163"/>
      <c r="D41" s="164">
        <f>PRELIM!AH41</f>
        <v>4</v>
      </c>
      <c r="E41" s="164">
        <f>MIDTERM!AL41</f>
        <v>4</v>
      </c>
      <c r="F41" s="164"/>
      <c r="G41" s="164"/>
      <c r="H41" s="158">
        <f>'Class List'!G25</f>
        <v>0</v>
      </c>
    </row>
    <row r="42" spans="1:8" ht="14" customHeight="1" x14ac:dyDescent="0.2">
      <c r="A42" s="159">
        <f>'Class List'!A26</f>
        <v>24</v>
      </c>
      <c r="B42" s="162" t="str">
        <f>'Class List'!F26</f>
        <v xml:space="preserve">,  </v>
      </c>
      <c r="C42" s="163"/>
      <c r="D42" s="164">
        <f>PRELIM!AH42</f>
        <v>4</v>
      </c>
      <c r="E42" s="164">
        <f>MIDTERM!AL42</f>
        <v>4</v>
      </c>
      <c r="F42" s="164"/>
      <c r="G42" s="164"/>
      <c r="H42" s="158">
        <f>'Class List'!G26</f>
        <v>0</v>
      </c>
    </row>
    <row r="43" spans="1:8" ht="14" customHeight="1" x14ac:dyDescent="0.2">
      <c r="A43" s="159">
        <f>'Class List'!A27</f>
        <v>25</v>
      </c>
      <c r="B43" s="162" t="str">
        <f>'Class List'!F27</f>
        <v xml:space="preserve">,  </v>
      </c>
      <c r="C43" s="163"/>
      <c r="D43" s="164">
        <f>PRELIM!AH43</f>
        <v>4</v>
      </c>
      <c r="E43" s="164">
        <f>MIDTERM!AL43</f>
        <v>4</v>
      </c>
      <c r="F43" s="164"/>
      <c r="G43" s="164"/>
      <c r="H43" s="158">
        <f>'Class List'!G27</f>
        <v>0</v>
      </c>
    </row>
    <row r="44" spans="1:8" ht="14" customHeight="1" x14ac:dyDescent="0.2">
      <c r="A44" s="159">
        <f>'Class List'!A28</f>
        <v>26</v>
      </c>
      <c r="B44" s="162" t="str">
        <f>'Class List'!F28</f>
        <v xml:space="preserve">,  </v>
      </c>
      <c r="C44" s="163"/>
      <c r="D44" s="164">
        <f>PRELIM!AH44</f>
        <v>4</v>
      </c>
      <c r="E44" s="164">
        <f>MIDTERM!AL44</f>
        <v>4</v>
      </c>
      <c r="F44" s="164"/>
      <c r="G44" s="164"/>
      <c r="H44" s="158">
        <f>'Class List'!G28</f>
        <v>0</v>
      </c>
    </row>
    <row r="45" spans="1:8" ht="14" customHeight="1" x14ac:dyDescent="0.2">
      <c r="A45" s="159">
        <f>'Class List'!A29</f>
        <v>27</v>
      </c>
      <c r="B45" s="162" t="str">
        <f>'Class List'!F29</f>
        <v xml:space="preserve">,  </v>
      </c>
      <c r="C45" s="163"/>
      <c r="D45" s="164">
        <f>PRELIM!AH45</f>
        <v>4</v>
      </c>
      <c r="E45" s="164">
        <f>MIDTERM!AL45</f>
        <v>4</v>
      </c>
      <c r="F45" s="164"/>
      <c r="G45" s="164"/>
      <c r="H45" s="158">
        <f>'Class List'!G29</f>
        <v>0</v>
      </c>
    </row>
    <row r="46" spans="1:8" ht="14" customHeight="1" x14ac:dyDescent="0.2">
      <c r="A46" s="159">
        <f>'Class List'!A30</f>
        <v>28</v>
      </c>
      <c r="B46" s="162" t="str">
        <f>'Class List'!F30</f>
        <v xml:space="preserve">,  </v>
      </c>
      <c r="C46" s="163"/>
      <c r="D46" s="164">
        <f>PRELIM!AH46</f>
        <v>4</v>
      </c>
      <c r="E46" s="164">
        <f>MIDTERM!AL46</f>
        <v>4</v>
      </c>
      <c r="F46" s="164"/>
      <c r="G46" s="164"/>
      <c r="H46" s="158">
        <f>'Class List'!G30</f>
        <v>0</v>
      </c>
    </row>
    <row r="47" spans="1:8" ht="14" customHeight="1" x14ac:dyDescent="0.2">
      <c r="A47" s="159">
        <f>'Class List'!A31</f>
        <v>29</v>
      </c>
      <c r="B47" s="162" t="str">
        <f>'Class List'!F31</f>
        <v xml:space="preserve">,  </v>
      </c>
      <c r="C47" s="163"/>
      <c r="D47" s="164">
        <f>PRELIM!AH47</f>
        <v>4</v>
      </c>
      <c r="E47" s="164">
        <f>MIDTERM!AL47</f>
        <v>4</v>
      </c>
      <c r="F47" s="164"/>
      <c r="G47" s="164"/>
      <c r="H47" s="158">
        <f>'Class List'!G31</f>
        <v>0</v>
      </c>
    </row>
    <row r="48" spans="1:8" ht="14" customHeight="1" x14ac:dyDescent="0.2">
      <c r="A48" s="159">
        <f>'Class List'!A32</f>
        <v>30</v>
      </c>
      <c r="B48" s="162" t="str">
        <f>'Class List'!F32</f>
        <v xml:space="preserve">,  </v>
      </c>
      <c r="C48" s="163"/>
      <c r="D48" s="164">
        <f>PRELIM!AH48</f>
        <v>4</v>
      </c>
      <c r="E48" s="164">
        <f>MIDTERM!AL48</f>
        <v>4</v>
      </c>
      <c r="F48" s="164"/>
      <c r="G48" s="164"/>
      <c r="H48" s="158">
        <f>'Class List'!G32</f>
        <v>0</v>
      </c>
    </row>
    <row r="49" spans="1:8" ht="14" customHeight="1" x14ac:dyDescent="0.2">
      <c r="A49" s="159">
        <f>'Class List'!A33</f>
        <v>31</v>
      </c>
      <c r="B49" s="162" t="str">
        <f>'Class List'!F33</f>
        <v xml:space="preserve">,  </v>
      </c>
      <c r="C49" s="163"/>
      <c r="D49" s="164">
        <f>PRELIM!AH49</f>
        <v>4</v>
      </c>
      <c r="E49" s="164">
        <f>MIDTERM!AL49</f>
        <v>4</v>
      </c>
      <c r="F49" s="164"/>
      <c r="G49" s="164"/>
      <c r="H49" s="158">
        <f>'Class List'!G33</f>
        <v>0</v>
      </c>
    </row>
    <row r="50" spans="1:8" ht="14" customHeight="1" x14ac:dyDescent="0.2">
      <c r="A50" s="159">
        <f>'Class List'!A34</f>
        <v>32</v>
      </c>
      <c r="B50" s="162" t="str">
        <f>'Class List'!F34</f>
        <v xml:space="preserve">,  </v>
      </c>
      <c r="C50" s="165"/>
      <c r="D50" s="164">
        <f>PRELIM!AH50</f>
        <v>4</v>
      </c>
      <c r="E50" s="164">
        <f>MIDTERM!AL50</f>
        <v>4</v>
      </c>
      <c r="F50" s="164"/>
      <c r="G50" s="164"/>
      <c r="H50" s="158">
        <f>'Class List'!G34</f>
        <v>0</v>
      </c>
    </row>
    <row r="51" spans="1:8" ht="14" customHeight="1" x14ac:dyDescent="0.2">
      <c r="A51" s="159">
        <f>'Class List'!A35</f>
        <v>33</v>
      </c>
      <c r="B51" s="162" t="str">
        <f>'Class List'!F35</f>
        <v xml:space="preserve">,  </v>
      </c>
      <c r="C51" s="163"/>
      <c r="D51" s="164">
        <f>PRELIM!AH51</f>
        <v>4</v>
      </c>
      <c r="E51" s="164">
        <f>MIDTERM!AL51</f>
        <v>4</v>
      </c>
      <c r="F51" s="164"/>
      <c r="G51" s="164"/>
      <c r="H51" s="158">
        <f>'Class List'!G35</f>
        <v>0</v>
      </c>
    </row>
    <row r="52" spans="1:8" ht="14" customHeight="1" x14ac:dyDescent="0.2">
      <c r="A52" s="159">
        <f>'Class List'!A36</f>
        <v>34</v>
      </c>
      <c r="B52" s="162" t="str">
        <f>'Class List'!F36</f>
        <v xml:space="preserve">,  </v>
      </c>
      <c r="C52" s="163"/>
      <c r="D52" s="164">
        <f>PRELIM!AH52</f>
        <v>4</v>
      </c>
      <c r="E52" s="164">
        <f>MIDTERM!AL52</f>
        <v>4</v>
      </c>
      <c r="F52" s="164"/>
      <c r="G52" s="164"/>
      <c r="H52" s="158">
        <f>'Class List'!G36</f>
        <v>0</v>
      </c>
    </row>
    <row r="53" spans="1:8" ht="14" customHeight="1" x14ac:dyDescent="0.2">
      <c r="A53" s="159">
        <f>'Class List'!A37</f>
        <v>35</v>
      </c>
      <c r="B53" s="162" t="str">
        <f>'Class List'!F37</f>
        <v xml:space="preserve">,  </v>
      </c>
      <c r="C53" s="163"/>
      <c r="D53" s="164">
        <f>PRELIM!AH53</f>
        <v>4</v>
      </c>
      <c r="E53" s="164">
        <f>MIDTERM!AL53</f>
        <v>4</v>
      </c>
      <c r="F53" s="164"/>
      <c r="G53" s="164"/>
      <c r="H53" s="158">
        <f>'Class List'!G37</f>
        <v>0</v>
      </c>
    </row>
    <row r="54" spans="1:8" ht="14" customHeight="1" x14ac:dyDescent="0.2">
      <c r="A54" s="159">
        <f>'Class List'!A38</f>
        <v>36</v>
      </c>
      <c r="B54" s="162" t="str">
        <f>'Class List'!F38</f>
        <v xml:space="preserve">,  </v>
      </c>
      <c r="C54" s="163"/>
      <c r="D54" s="164">
        <f>PRELIM!AH54</f>
        <v>4</v>
      </c>
      <c r="E54" s="164">
        <f>MIDTERM!AL54</f>
        <v>4</v>
      </c>
      <c r="F54" s="164"/>
      <c r="G54" s="164"/>
      <c r="H54" s="158">
        <f>'Class List'!G38</f>
        <v>0</v>
      </c>
    </row>
    <row r="55" spans="1:8" ht="14" customHeight="1" x14ac:dyDescent="0.2">
      <c r="A55" s="159">
        <f>'Class List'!A39</f>
        <v>37</v>
      </c>
      <c r="B55" s="162" t="str">
        <f>'Class List'!F39</f>
        <v xml:space="preserve">,  </v>
      </c>
      <c r="C55" s="163"/>
      <c r="D55" s="164">
        <f>PRELIM!AH55</f>
        <v>4</v>
      </c>
      <c r="E55" s="164">
        <f>MIDTERM!AL55</f>
        <v>4</v>
      </c>
      <c r="F55" s="164"/>
      <c r="G55" s="164"/>
      <c r="H55" s="158">
        <f>'Class List'!G39</f>
        <v>0</v>
      </c>
    </row>
    <row r="56" spans="1:8" ht="14" customHeight="1" x14ac:dyDescent="0.2">
      <c r="A56" s="159">
        <f>'Class List'!A40</f>
        <v>38</v>
      </c>
      <c r="B56" s="162" t="str">
        <f>'Class List'!F40</f>
        <v xml:space="preserve">,  </v>
      </c>
      <c r="C56" s="163"/>
      <c r="D56" s="164">
        <f>PRELIM!AH56</f>
        <v>4</v>
      </c>
      <c r="E56" s="164">
        <f>MIDTERM!AL56</f>
        <v>4</v>
      </c>
      <c r="F56" s="164"/>
      <c r="G56" s="164"/>
      <c r="H56" s="158">
        <f>'Class List'!G40</f>
        <v>0</v>
      </c>
    </row>
    <row r="57" spans="1:8" ht="14" customHeight="1" x14ac:dyDescent="0.2">
      <c r="A57" s="159">
        <f>'Class List'!A41</f>
        <v>39</v>
      </c>
      <c r="B57" s="162" t="str">
        <f>'Class List'!F41</f>
        <v xml:space="preserve">,  </v>
      </c>
      <c r="C57" s="163"/>
      <c r="D57" s="164">
        <f>PRELIM!AH57</f>
        <v>4</v>
      </c>
      <c r="E57" s="164">
        <f>MIDTERM!AL57</f>
        <v>4</v>
      </c>
      <c r="F57" s="164"/>
      <c r="G57" s="164"/>
      <c r="H57" s="158">
        <f>'Class List'!G41</f>
        <v>0</v>
      </c>
    </row>
    <row r="58" spans="1:8" ht="14" customHeight="1" x14ac:dyDescent="0.2">
      <c r="A58" s="159">
        <f>'Class List'!A42</f>
        <v>40</v>
      </c>
      <c r="B58" s="162" t="str">
        <f>'Class List'!F42</f>
        <v xml:space="preserve">,  </v>
      </c>
      <c r="C58" s="163"/>
      <c r="D58" s="164">
        <f>PRELIM!AH58</f>
        <v>4</v>
      </c>
      <c r="E58" s="164">
        <f>MIDTERM!AL58</f>
        <v>4</v>
      </c>
      <c r="F58" s="164"/>
      <c r="G58" s="164"/>
      <c r="H58" s="158">
        <f>'Class List'!G42</f>
        <v>0</v>
      </c>
    </row>
    <row r="59" spans="1:8" ht="14" customHeight="1" x14ac:dyDescent="0.2">
      <c r="A59" s="159">
        <f>'Class List'!A43</f>
        <v>41</v>
      </c>
      <c r="B59" s="162" t="str">
        <f>'Class List'!F43</f>
        <v xml:space="preserve">,  </v>
      </c>
      <c r="C59" s="163"/>
      <c r="D59" s="164">
        <f>PRELIM!AH59</f>
        <v>4</v>
      </c>
      <c r="E59" s="164">
        <f>MIDTERM!AL59</f>
        <v>4</v>
      </c>
      <c r="F59" s="164"/>
      <c r="G59" s="164"/>
      <c r="H59" s="158">
        <f>'Class List'!G43</f>
        <v>0</v>
      </c>
    </row>
    <row r="60" spans="1:8" ht="14" customHeight="1" x14ac:dyDescent="0.2">
      <c r="A60" s="159">
        <f>'Class List'!A44</f>
        <v>42</v>
      </c>
      <c r="B60" s="162" t="str">
        <f>'Class List'!F44</f>
        <v xml:space="preserve">,  </v>
      </c>
      <c r="C60" s="163"/>
      <c r="D60" s="164">
        <f>PRELIM!AH60</f>
        <v>4</v>
      </c>
      <c r="E60" s="164">
        <f>MIDTERM!AL60</f>
        <v>4</v>
      </c>
      <c r="F60" s="164"/>
      <c r="G60" s="164"/>
      <c r="H60" s="158">
        <f>'Class List'!G44</f>
        <v>0</v>
      </c>
    </row>
    <row r="61" spans="1:8" ht="14" customHeight="1" x14ac:dyDescent="0.2">
      <c r="A61" s="159">
        <f>'Class List'!A45</f>
        <v>43</v>
      </c>
      <c r="B61" s="162" t="str">
        <f>'Class List'!F45</f>
        <v xml:space="preserve">,  </v>
      </c>
      <c r="C61" s="163"/>
      <c r="D61" s="164">
        <f>PRELIM!AH61</f>
        <v>4</v>
      </c>
      <c r="E61" s="164">
        <f>MIDTERM!AL61</f>
        <v>4</v>
      </c>
      <c r="F61" s="164"/>
      <c r="G61" s="164"/>
      <c r="H61" s="158">
        <f>'Class List'!G45</f>
        <v>0</v>
      </c>
    </row>
    <row r="62" spans="1:8" ht="14" customHeight="1" x14ac:dyDescent="0.2">
      <c r="A62" s="159">
        <f>'Class List'!A46</f>
        <v>44</v>
      </c>
      <c r="B62" s="162" t="str">
        <f>'Class List'!F46</f>
        <v xml:space="preserve">,  </v>
      </c>
      <c r="C62" s="163"/>
      <c r="D62" s="164">
        <f>PRELIM!AH62</f>
        <v>4</v>
      </c>
      <c r="E62" s="164">
        <f>MIDTERM!AL62</f>
        <v>4</v>
      </c>
      <c r="F62" s="164"/>
      <c r="G62" s="164"/>
      <c r="H62" s="158">
        <f>'Class List'!G46</f>
        <v>0</v>
      </c>
    </row>
    <row r="63" spans="1:8" ht="14" customHeight="1" x14ac:dyDescent="0.2">
      <c r="A63" s="159">
        <f>'Class List'!A47</f>
        <v>45</v>
      </c>
      <c r="B63" s="162" t="str">
        <f>'Class List'!F47</f>
        <v xml:space="preserve">,  </v>
      </c>
      <c r="C63" s="163"/>
      <c r="D63" s="164">
        <f>PRELIM!AH63</f>
        <v>4</v>
      </c>
      <c r="E63" s="164">
        <f>MIDTERM!AL63</f>
        <v>4</v>
      </c>
      <c r="F63" s="164"/>
      <c r="G63" s="164"/>
      <c r="H63" s="158">
        <f>'Class List'!G47</f>
        <v>0</v>
      </c>
    </row>
    <row r="64" spans="1:8" ht="14" customHeight="1" x14ac:dyDescent="0.2">
      <c r="A64" s="159">
        <f>'Class List'!A48</f>
        <v>46</v>
      </c>
      <c r="B64" s="162" t="str">
        <f>'Class List'!F48</f>
        <v xml:space="preserve">,  </v>
      </c>
      <c r="C64" s="163"/>
      <c r="D64" s="164">
        <f>PRELIM!AH64</f>
        <v>4</v>
      </c>
      <c r="E64" s="164">
        <f>MIDTERM!AL64</f>
        <v>4</v>
      </c>
      <c r="F64" s="164"/>
      <c r="G64" s="164"/>
      <c r="H64" s="158">
        <f>'Class List'!G48</f>
        <v>0</v>
      </c>
    </row>
    <row r="65" spans="1:8" ht="14" customHeight="1" x14ac:dyDescent="0.2">
      <c r="A65" s="159">
        <f>'Class List'!A49</f>
        <v>47</v>
      </c>
      <c r="B65" s="162" t="str">
        <f>'Class List'!F49</f>
        <v xml:space="preserve">,  </v>
      </c>
      <c r="C65" s="163"/>
      <c r="D65" s="164">
        <f>PRELIM!AH65</f>
        <v>4</v>
      </c>
      <c r="E65" s="164">
        <f>MIDTERM!AL65</f>
        <v>4</v>
      </c>
      <c r="F65" s="164"/>
      <c r="G65" s="164"/>
      <c r="H65" s="158">
        <f>'Class List'!G49</f>
        <v>0</v>
      </c>
    </row>
    <row r="66" spans="1:8" ht="14" customHeight="1" x14ac:dyDescent="0.2">
      <c r="A66" s="159">
        <f>'Class List'!A50</f>
        <v>48</v>
      </c>
      <c r="B66" s="162" t="str">
        <f>'Class List'!F50</f>
        <v xml:space="preserve">,  </v>
      </c>
      <c r="C66" s="163"/>
      <c r="D66" s="164">
        <f>PRELIM!AH66</f>
        <v>4</v>
      </c>
      <c r="E66" s="164">
        <f>MIDTERM!AL66</f>
        <v>4</v>
      </c>
      <c r="F66" s="164"/>
      <c r="G66" s="164"/>
      <c r="H66" s="158">
        <f>'Class List'!G50</f>
        <v>0</v>
      </c>
    </row>
    <row r="67" spans="1:8" ht="14" customHeight="1" x14ac:dyDescent="0.2">
      <c r="A67" s="159">
        <f>'Class List'!A51</f>
        <v>49</v>
      </c>
      <c r="B67" s="162" t="str">
        <f>'Class List'!F51</f>
        <v xml:space="preserve">,  </v>
      </c>
      <c r="C67" s="163"/>
      <c r="D67" s="164">
        <f>PRELIM!AH67</f>
        <v>4</v>
      </c>
      <c r="E67" s="164">
        <f>MIDTERM!AL67</f>
        <v>4</v>
      </c>
      <c r="F67" s="164"/>
      <c r="G67" s="164"/>
      <c r="H67" s="158">
        <f>'Class List'!G51</f>
        <v>0</v>
      </c>
    </row>
    <row r="68" spans="1:8" ht="14" customHeight="1" x14ac:dyDescent="0.2">
      <c r="A68" s="159">
        <f>'Class List'!A52</f>
        <v>50</v>
      </c>
      <c r="B68" s="162" t="str">
        <f>'Class List'!F52</f>
        <v xml:space="preserve">,  </v>
      </c>
      <c r="C68" s="163"/>
      <c r="D68" s="164">
        <f>PRELIM!AH68</f>
        <v>4</v>
      </c>
      <c r="E68" s="164">
        <f>MIDTERM!AL68</f>
        <v>4</v>
      </c>
      <c r="F68" s="164"/>
      <c r="G68" s="164"/>
      <c r="H68" s="158">
        <f>'Class List'!G52</f>
        <v>0</v>
      </c>
    </row>
    <row r="69" spans="1:8" ht="14" customHeight="1" x14ac:dyDescent="0.2">
      <c r="A69" s="159">
        <f>'Class List'!A53</f>
        <v>51</v>
      </c>
      <c r="B69" s="162" t="str">
        <f>'Class List'!F53</f>
        <v xml:space="preserve">,  </v>
      </c>
      <c r="C69" s="163"/>
      <c r="D69" s="164">
        <f>PRELIM!AH69</f>
        <v>4</v>
      </c>
      <c r="E69" s="164">
        <f>MIDTERM!AL69</f>
        <v>4</v>
      </c>
      <c r="F69" s="164"/>
      <c r="G69" s="164"/>
      <c r="H69" s="158">
        <f>'Class List'!G53</f>
        <v>0</v>
      </c>
    </row>
    <row r="70" spans="1:8" ht="14" customHeight="1" x14ac:dyDescent="0.2">
      <c r="A70" s="159">
        <f>'Class List'!A54</f>
        <v>52</v>
      </c>
      <c r="B70" s="162" t="str">
        <f>'Class List'!F54</f>
        <v xml:space="preserve">,  </v>
      </c>
      <c r="C70" s="163"/>
      <c r="D70" s="164">
        <f>PRELIM!AH70</f>
        <v>4</v>
      </c>
      <c r="E70" s="164">
        <f>MIDTERM!AL70</f>
        <v>4</v>
      </c>
      <c r="F70" s="164"/>
      <c r="G70" s="164"/>
      <c r="H70" s="158">
        <f>'Class List'!G54</f>
        <v>0</v>
      </c>
    </row>
    <row r="71" spans="1:8" ht="14" customHeight="1" x14ac:dyDescent="0.2">
      <c r="A71" s="159">
        <f>'Class List'!A55</f>
        <v>53</v>
      </c>
      <c r="B71" s="162" t="str">
        <f>'Class List'!F55</f>
        <v xml:space="preserve">,  </v>
      </c>
      <c r="C71" s="163"/>
      <c r="D71" s="164">
        <f>PRELIM!AH71</f>
        <v>4</v>
      </c>
      <c r="E71" s="164">
        <f>MIDTERM!AL71</f>
        <v>4</v>
      </c>
      <c r="F71" s="164"/>
      <c r="G71" s="164"/>
      <c r="H71" s="158">
        <f>'Class List'!G55</f>
        <v>0</v>
      </c>
    </row>
    <row r="72" spans="1:8" ht="14" customHeight="1" x14ac:dyDescent="0.2">
      <c r="A72" s="159">
        <f>'Class List'!A56</f>
        <v>54</v>
      </c>
      <c r="B72" s="162" t="str">
        <f>'Class List'!F56</f>
        <v xml:space="preserve">,  </v>
      </c>
      <c r="C72" s="163"/>
      <c r="D72" s="164">
        <f>PRELIM!AH72</f>
        <v>4</v>
      </c>
      <c r="E72" s="164">
        <f>MIDTERM!AL72</f>
        <v>4</v>
      </c>
      <c r="F72" s="164"/>
      <c r="G72" s="164"/>
      <c r="H72" s="158">
        <f>'Class List'!G56</f>
        <v>0</v>
      </c>
    </row>
    <row r="73" spans="1:8" ht="14" customHeight="1" x14ac:dyDescent="0.2">
      <c r="A73" s="159">
        <f>'Class List'!A57</f>
        <v>55</v>
      </c>
      <c r="B73" s="162" t="str">
        <f>'Class List'!F57</f>
        <v xml:space="preserve">,  </v>
      </c>
      <c r="C73" s="163"/>
      <c r="D73" s="164">
        <f>PRELIM!AH73</f>
        <v>4</v>
      </c>
      <c r="E73" s="164">
        <f>MIDTERM!AL73</f>
        <v>4</v>
      </c>
      <c r="F73" s="164"/>
      <c r="G73" s="164"/>
      <c r="H73" s="158">
        <f>'Class List'!G57</f>
        <v>0</v>
      </c>
    </row>
    <row r="74" spans="1:8" ht="14" customHeight="1" x14ac:dyDescent="0.2">
      <c r="A74" s="159">
        <f>'Class List'!A58</f>
        <v>56</v>
      </c>
      <c r="B74" s="162" t="str">
        <f>'Class List'!F58</f>
        <v xml:space="preserve">,  </v>
      </c>
      <c r="C74" s="163"/>
      <c r="D74" s="164">
        <f>PRELIM!AH74</f>
        <v>4</v>
      </c>
      <c r="E74" s="164">
        <f>MIDTERM!AL74</f>
        <v>4</v>
      </c>
      <c r="F74" s="164"/>
      <c r="G74" s="164"/>
      <c r="H74" s="158">
        <f>'Class List'!G58</f>
        <v>0</v>
      </c>
    </row>
    <row r="75" spans="1:8" ht="14" customHeight="1" x14ac:dyDescent="0.2">
      <c r="A75" s="159">
        <f>'Class List'!A59</f>
        <v>57</v>
      </c>
      <c r="B75" s="162" t="str">
        <f>'Class List'!F59</f>
        <v xml:space="preserve">,  </v>
      </c>
      <c r="C75" s="163"/>
      <c r="D75" s="164">
        <f>PRELIM!AH75</f>
        <v>4</v>
      </c>
      <c r="E75" s="164">
        <f>MIDTERM!AL75</f>
        <v>4</v>
      </c>
      <c r="F75" s="164"/>
      <c r="G75" s="164"/>
      <c r="H75" s="158">
        <f>'Class List'!G59</f>
        <v>0</v>
      </c>
    </row>
    <row r="76" spans="1:8" ht="14" customHeight="1" x14ac:dyDescent="0.2">
      <c r="A76" s="159">
        <f>'Class List'!A60</f>
        <v>58</v>
      </c>
      <c r="B76" s="162" t="str">
        <f>'Class List'!F60</f>
        <v xml:space="preserve">,  </v>
      </c>
      <c r="C76" s="163"/>
      <c r="D76" s="164">
        <f>PRELIM!AH76</f>
        <v>4</v>
      </c>
      <c r="E76" s="164">
        <f>MIDTERM!AL76</f>
        <v>4</v>
      </c>
      <c r="F76" s="164"/>
      <c r="G76" s="164"/>
      <c r="H76" s="158">
        <f>'Class List'!G60</f>
        <v>0</v>
      </c>
    </row>
    <row r="77" spans="1:8" ht="14" customHeight="1" x14ac:dyDescent="0.2">
      <c r="A77" s="159">
        <f>'Class List'!A61</f>
        <v>59</v>
      </c>
      <c r="B77" s="162" t="str">
        <f>'Class List'!F61</f>
        <v xml:space="preserve">,  </v>
      </c>
      <c r="C77" s="163"/>
      <c r="D77" s="164">
        <f>PRELIM!AH77</f>
        <v>4</v>
      </c>
      <c r="E77" s="164">
        <f>MIDTERM!AL77</f>
        <v>4</v>
      </c>
      <c r="F77" s="164"/>
      <c r="G77" s="164"/>
      <c r="H77" s="158">
        <f>'Class List'!G61</f>
        <v>0</v>
      </c>
    </row>
    <row r="78" spans="1:8" ht="14" customHeight="1" x14ac:dyDescent="0.2">
      <c r="A78" s="159">
        <f>'Class List'!A62</f>
        <v>60</v>
      </c>
      <c r="B78" s="162" t="str">
        <f>'Class List'!F62</f>
        <v xml:space="preserve">,  </v>
      </c>
      <c r="C78" s="163"/>
      <c r="D78" s="164">
        <f>PRELIM!AH78</f>
        <v>4</v>
      </c>
      <c r="E78" s="164">
        <f>MIDTERM!AL78</f>
        <v>4</v>
      </c>
      <c r="F78" s="164"/>
      <c r="G78" s="164"/>
      <c r="H78" s="158">
        <f>'Class List'!G62</f>
        <v>0</v>
      </c>
    </row>
    <row r="79" spans="1:8" ht="14" customHeight="1" x14ac:dyDescent="0.2">
      <c r="A79" s="149"/>
      <c r="B79" s="149"/>
      <c r="C79" s="149"/>
      <c r="D79" s="149"/>
      <c r="E79" s="149"/>
      <c r="F79" s="149"/>
      <c r="G79" s="149"/>
      <c r="H79" s="149"/>
    </row>
    <row r="80" spans="1:8" x14ac:dyDescent="0.15">
      <c r="A80" s="171"/>
      <c r="B80" s="315"/>
      <c r="C80" s="315"/>
      <c r="D80" s="172"/>
      <c r="E80" s="149"/>
      <c r="F80" s="150"/>
      <c r="G80" s="150"/>
      <c r="H80" s="150"/>
    </row>
    <row r="81" spans="1:8" ht="14" customHeight="1" x14ac:dyDescent="0.15">
      <c r="A81" s="171"/>
      <c r="B81" s="316"/>
      <c r="C81" s="316"/>
      <c r="D81" s="172"/>
      <c r="E81" s="149"/>
      <c r="F81" s="151" t="s">
        <v>76</v>
      </c>
      <c r="G81" s="151"/>
      <c r="H81" s="151"/>
    </row>
    <row r="86" spans="1:8" x14ac:dyDescent="0.2">
      <c r="B86" s="314" t="s">
        <v>86</v>
      </c>
      <c r="C86" s="314"/>
    </row>
    <row r="87" spans="1:8" x14ac:dyDescent="0.2">
      <c r="B87" s="174" t="s">
        <v>131</v>
      </c>
      <c r="D87" s="175" t="s">
        <v>87</v>
      </c>
    </row>
    <row r="88" spans="1:8" x14ac:dyDescent="0.2">
      <c r="B88" s="174" t="s">
        <v>75</v>
      </c>
      <c r="C88" s="174"/>
      <c r="D88" s="175" t="s">
        <v>88</v>
      </c>
    </row>
    <row r="89" spans="1:8" x14ac:dyDescent="0.2">
      <c r="B89" s="174" t="s">
        <v>89</v>
      </c>
      <c r="C89" s="174"/>
      <c r="D89" s="175" t="s">
        <v>91</v>
      </c>
    </row>
    <row r="90" spans="1:8" x14ac:dyDescent="0.2">
      <c r="B90" s="174" t="s">
        <v>90</v>
      </c>
      <c r="C90" s="174"/>
      <c r="D90" s="175" t="s">
        <v>92</v>
      </c>
    </row>
    <row r="91" spans="1:8" x14ac:dyDescent="0.2">
      <c r="B91" s="174"/>
      <c r="C91" s="174"/>
      <c r="D91" s="175"/>
    </row>
    <row r="92" spans="1:8" x14ac:dyDescent="0.2">
      <c r="B92" s="174"/>
      <c r="C92" s="174"/>
      <c r="D92" s="175"/>
    </row>
    <row r="93" spans="1:8" x14ac:dyDescent="0.2">
      <c r="B93" s="173"/>
      <c r="C93" s="173"/>
      <c r="D93" s="175"/>
    </row>
    <row r="94" spans="1:8" x14ac:dyDescent="0.2">
      <c r="D94" s="175"/>
    </row>
    <row r="95" spans="1:8" x14ac:dyDescent="0.2">
      <c r="D95" s="175"/>
    </row>
    <row r="96" spans="1:8" x14ac:dyDescent="0.2">
      <c r="D96" s="175"/>
    </row>
  </sheetData>
  <sheetProtection algorithmName="SHA-512" hashValue="nx0mtzD4P+AaJfZoQF54urS8HYzr+CMBLzr6iCoX5F8Z8nPfoQD8ivPmeJnbuSQWWEeA8w1UektGDZv/tx1gwQ==" saltValue="qaq+GSTfXiUNZKtP1NiLhQ==" spinCount="100000" sheet="1" objects="1" scenarios="1"/>
  <mergeCells count="15">
    <mergeCell ref="A10:H10"/>
    <mergeCell ref="A2:H2"/>
    <mergeCell ref="A3:H3"/>
    <mergeCell ref="A4:H4"/>
    <mergeCell ref="A6:H6"/>
    <mergeCell ref="A7:H7"/>
    <mergeCell ref="B80:C80"/>
    <mergeCell ref="B81:C81"/>
    <mergeCell ref="B86:C86"/>
    <mergeCell ref="A11:H11"/>
    <mergeCell ref="A16:A17"/>
    <mergeCell ref="B16:C17"/>
    <mergeCell ref="D16:F16"/>
    <mergeCell ref="G16:G17"/>
    <mergeCell ref="H16:H17"/>
  </mergeCells>
  <conditionalFormatting sqref="H80:H81">
    <cfRule type="cellIs" dxfId="1" priority="1" operator="equal">
      <formula>"failed"</formula>
    </cfRule>
  </conditionalFormatting>
  <printOptions horizontalCentered="1"/>
  <pageMargins left="0.25" right="0.25" top="0.25" bottom="0.25" header="0.3" footer="0.3"/>
  <pageSetup paperSize="14" scale="91" orientation="portrait" horizontalDpi="0" verticalDpi="0" copies="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BEE8-617E-8E49-8176-30DB0A62DCFC}">
  <sheetPr>
    <tabColor rgb="FF8AFFE6"/>
  </sheetPr>
  <dimension ref="A2:J96"/>
  <sheetViews>
    <sheetView topLeftCell="A68" zoomScaleNormal="100" workbookViewId="0">
      <selection activeCell="B87" sqref="B87"/>
    </sheetView>
  </sheetViews>
  <sheetFormatPr baseColWidth="10" defaultRowHeight="16" x14ac:dyDescent="0.2"/>
  <cols>
    <col min="1" max="1" width="3.83203125" style="129" bestFit="1" customWidth="1"/>
    <col min="2" max="2" width="17.5" style="19" customWidth="1"/>
    <col min="3" max="3" width="12.33203125" style="19" customWidth="1"/>
    <col min="4" max="4" width="14.6640625" style="19" customWidth="1"/>
    <col min="5" max="5" width="14.1640625" style="19" customWidth="1"/>
    <col min="6" max="6" width="12.6640625" style="19" customWidth="1"/>
    <col min="7" max="7" width="13.6640625" style="19" customWidth="1"/>
    <col min="8" max="8" width="15.33203125" style="19" hidden="1" customWidth="1"/>
    <col min="9" max="16384" width="10.83203125" style="19"/>
  </cols>
  <sheetData>
    <row r="2" spans="1:10" x14ac:dyDescent="0.2">
      <c r="A2" s="310" t="s">
        <v>66</v>
      </c>
      <c r="B2" s="310"/>
      <c r="C2" s="310"/>
      <c r="D2" s="310"/>
      <c r="E2" s="310"/>
      <c r="F2" s="310"/>
      <c r="G2" s="310"/>
      <c r="H2" s="310"/>
      <c r="I2" s="125"/>
    </row>
    <row r="3" spans="1:10" x14ac:dyDescent="0.2">
      <c r="A3" s="310" t="s">
        <v>67</v>
      </c>
      <c r="B3" s="310"/>
      <c r="C3" s="310"/>
      <c r="D3" s="310"/>
      <c r="E3" s="310"/>
      <c r="F3" s="310"/>
      <c r="G3" s="310"/>
      <c r="H3" s="310"/>
      <c r="I3" s="125"/>
    </row>
    <row r="4" spans="1:10" x14ac:dyDescent="0.2">
      <c r="A4" s="311" t="s">
        <v>68</v>
      </c>
      <c r="B4" s="311"/>
      <c r="C4" s="311"/>
      <c r="D4" s="311"/>
      <c r="E4" s="311"/>
      <c r="F4" s="311"/>
      <c r="G4" s="311"/>
      <c r="H4" s="311"/>
      <c r="I4" s="125"/>
    </row>
    <row r="5" spans="1:10" ht="6" customHeight="1" x14ac:dyDescent="0.2">
      <c r="A5" s="126"/>
      <c r="B5" s="125"/>
      <c r="C5" s="126"/>
      <c r="D5" s="125"/>
      <c r="E5" s="125"/>
      <c r="F5" s="125"/>
      <c r="G5" s="125"/>
      <c r="H5" s="125"/>
      <c r="I5" s="125"/>
    </row>
    <row r="6" spans="1:10" x14ac:dyDescent="0.2">
      <c r="A6" s="312" t="s">
        <v>0</v>
      </c>
      <c r="B6" s="312"/>
      <c r="C6" s="312"/>
      <c r="D6" s="312"/>
      <c r="E6" s="312"/>
      <c r="F6" s="312"/>
      <c r="G6" s="312"/>
      <c r="H6" s="312"/>
      <c r="I6" s="125"/>
    </row>
    <row r="7" spans="1:10" ht="20" customHeight="1" x14ac:dyDescent="0.2">
      <c r="A7" s="313" t="s">
        <v>1</v>
      </c>
      <c r="B7" s="313"/>
      <c r="C7" s="313"/>
      <c r="D7" s="313"/>
      <c r="E7" s="313"/>
      <c r="F7" s="313"/>
      <c r="G7" s="313"/>
      <c r="H7" s="313"/>
      <c r="I7" s="125"/>
    </row>
    <row r="8" spans="1:10" ht="3" customHeight="1" x14ac:dyDescent="0.2">
      <c r="A8" s="127"/>
      <c r="B8" s="128"/>
      <c r="C8" s="127"/>
      <c r="D8" s="127"/>
      <c r="E8" s="127"/>
      <c r="F8" s="127"/>
      <c r="G8" s="127"/>
      <c r="H8" s="127"/>
      <c r="I8" s="125"/>
    </row>
    <row r="9" spans="1:10" ht="6" customHeight="1" x14ac:dyDescent="0.2">
      <c r="A9" s="125"/>
      <c r="B9" s="125"/>
      <c r="C9" s="125"/>
      <c r="D9" s="125"/>
      <c r="E9" s="125"/>
      <c r="F9" s="125"/>
      <c r="G9" s="125"/>
      <c r="H9" s="125"/>
      <c r="I9" s="125"/>
    </row>
    <row r="10" spans="1:10" x14ac:dyDescent="0.2">
      <c r="A10" s="317" t="s">
        <v>69</v>
      </c>
      <c r="B10" s="317"/>
      <c r="C10" s="317"/>
      <c r="D10" s="317"/>
      <c r="E10" s="317"/>
      <c r="F10" s="317"/>
      <c r="G10" s="317"/>
      <c r="H10" s="317"/>
      <c r="I10" s="125"/>
    </row>
    <row r="11" spans="1:10" x14ac:dyDescent="0.2">
      <c r="A11" s="310" t="str">
        <f>'Class List'!J6</f>
        <v>First Semester, A.Y. 2026 - 2027</v>
      </c>
      <c r="B11" s="310"/>
      <c r="C11" s="310"/>
      <c r="D11" s="310"/>
      <c r="E11" s="310"/>
      <c r="F11" s="310"/>
      <c r="G11" s="310"/>
      <c r="H11" s="310"/>
      <c r="I11" s="125"/>
    </row>
    <row r="12" spans="1:10" ht="5" customHeight="1" x14ac:dyDescent="0.2"/>
    <row r="13" spans="1:10" s="130" customFormat="1" x14ac:dyDescent="0.2">
      <c r="A13" s="152"/>
      <c r="B13" s="153" t="s">
        <v>77</v>
      </c>
      <c r="C13" s="169" t="str">
        <f>'Class List'!J9</f>
        <v>ABM 1</v>
      </c>
      <c r="D13" s="154"/>
      <c r="E13" s="153" t="s">
        <v>127</v>
      </c>
      <c r="F13" s="251" t="str">
        <f>'Class List'!J12</f>
        <v>BSHM 1 - DAISY</v>
      </c>
      <c r="G13" s="169"/>
      <c r="H13" s="170"/>
      <c r="J13" s="19"/>
    </row>
    <row r="14" spans="1:10" s="130" customFormat="1" x14ac:dyDescent="0.2">
      <c r="A14" s="152"/>
      <c r="B14" s="153" t="s">
        <v>78</v>
      </c>
      <c r="C14" s="169" t="str">
        <f>'Class List'!J10</f>
        <v>ORGANZIATION AND MANAGEMENT</v>
      </c>
      <c r="D14" s="154"/>
      <c r="E14" s="155" t="s">
        <v>41</v>
      </c>
      <c r="F14" s="156" t="str">
        <f>'Class List'!J8</f>
        <v>MARL VINCENT L. LABITAD, MPA</v>
      </c>
      <c r="G14" s="156"/>
      <c r="H14" s="157"/>
      <c r="J14" s="19"/>
    </row>
    <row r="15" spans="1:10" x14ac:dyDescent="0.2">
      <c r="A15" s="149"/>
      <c r="B15" s="149"/>
      <c r="C15" s="149"/>
      <c r="D15" s="149"/>
      <c r="E15" s="149"/>
      <c r="F15" s="149"/>
      <c r="G15" s="149"/>
      <c r="H15" s="149"/>
    </row>
    <row r="16" spans="1:10" s="131" customFormat="1" ht="14" customHeight="1" x14ac:dyDescent="0.2">
      <c r="A16" s="322" t="s">
        <v>70</v>
      </c>
      <c r="B16" s="324" t="s">
        <v>71</v>
      </c>
      <c r="C16" s="325"/>
      <c r="D16" s="318" t="s">
        <v>72</v>
      </c>
      <c r="E16" s="319"/>
      <c r="F16" s="320"/>
      <c r="G16" s="321" t="s">
        <v>10</v>
      </c>
      <c r="H16" s="321" t="s">
        <v>83</v>
      </c>
    </row>
    <row r="17" spans="1:8" s="131" customFormat="1" ht="14" customHeight="1" x14ac:dyDescent="0.2">
      <c r="A17" s="323"/>
      <c r="B17" s="326"/>
      <c r="C17" s="327"/>
      <c r="D17" s="158" t="s">
        <v>73</v>
      </c>
      <c r="E17" s="158" t="s">
        <v>74</v>
      </c>
      <c r="F17" s="158" t="s">
        <v>24</v>
      </c>
      <c r="G17" s="321"/>
      <c r="H17" s="321"/>
    </row>
    <row r="18" spans="1:8" ht="14" customHeight="1" x14ac:dyDescent="0.2">
      <c r="A18" s="159"/>
      <c r="B18" s="160"/>
      <c r="C18" s="161"/>
      <c r="D18" s="159"/>
      <c r="E18" s="159"/>
      <c r="F18" s="159"/>
      <c r="G18" s="159"/>
      <c r="H18" s="159"/>
    </row>
    <row r="19" spans="1:8" ht="14" customHeight="1" x14ac:dyDescent="0.2">
      <c r="A19" s="159">
        <f>'Class List'!A3</f>
        <v>1</v>
      </c>
      <c r="B19" s="162" t="str">
        <f>'Class List'!F3</f>
        <v>BACALSO, HELEN S.</v>
      </c>
      <c r="C19" s="163"/>
      <c r="D19" s="164">
        <f>PRELIM!AH19</f>
        <v>4</v>
      </c>
      <c r="E19" s="164">
        <f>MIDTERM!AL19</f>
        <v>4</v>
      </c>
      <c r="F19" s="164">
        <f>FINAL!AL19</f>
        <v>5</v>
      </c>
      <c r="G19" s="164" t="str">
        <f>FINAL!AM19</f>
        <v>FAILED</v>
      </c>
      <c r="H19" s="158" t="str">
        <f>'Class List'!G3</f>
        <v>BSED-MATH</v>
      </c>
    </row>
    <row r="20" spans="1:8" ht="14" customHeight="1" x14ac:dyDescent="0.2">
      <c r="A20" s="159">
        <f>'Class List'!A4</f>
        <v>2</v>
      </c>
      <c r="B20" s="162" t="str">
        <f>'Class List'!F4</f>
        <v xml:space="preserve">,  </v>
      </c>
      <c r="C20" s="163"/>
      <c r="D20" s="164">
        <f>PRELIM!AH20</f>
        <v>4</v>
      </c>
      <c r="E20" s="164">
        <f>MIDTERM!AL20</f>
        <v>4</v>
      </c>
      <c r="F20" s="164">
        <f>FINAL!AL20</f>
        <v>5</v>
      </c>
      <c r="G20" s="164" t="str">
        <f>FINAL!AM20</f>
        <v>FAILED</v>
      </c>
      <c r="H20" s="158">
        <f>'Class List'!G4</f>
        <v>0</v>
      </c>
    </row>
    <row r="21" spans="1:8" ht="14" customHeight="1" x14ac:dyDescent="0.2">
      <c r="A21" s="159">
        <f>'Class List'!A5</f>
        <v>3</v>
      </c>
      <c r="B21" s="162" t="str">
        <f>'Class List'!F5</f>
        <v xml:space="preserve">,  </v>
      </c>
      <c r="C21" s="163"/>
      <c r="D21" s="164">
        <f>PRELIM!AH21</f>
        <v>4</v>
      </c>
      <c r="E21" s="164">
        <f>MIDTERM!AL21</f>
        <v>4</v>
      </c>
      <c r="F21" s="164">
        <f>FINAL!AL21</f>
        <v>5</v>
      </c>
      <c r="G21" s="164" t="str">
        <f>FINAL!AM21</f>
        <v>FAILED</v>
      </c>
      <c r="H21" s="158">
        <f>'Class List'!G5</f>
        <v>0</v>
      </c>
    </row>
    <row r="22" spans="1:8" ht="14" customHeight="1" x14ac:dyDescent="0.2">
      <c r="A22" s="159">
        <f>'Class List'!A6</f>
        <v>4</v>
      </c>
      <c r="B22" s="162" t="str">
        <f>'Class List'!F6</f>
        <v xml:space="preserve">,  </v>
      </c>
      <c r="C22" s="163"/>
      <c r="D22" s="164">
        <f>PRELIM!AH22</f>
        <v>4</v>
      </c>
      <c r="E22" s="164">
        <f>MIDTERM!AL22</f>
        <v>4</v>
      </c>
      <c r="F22" s="164">
        <f>FINAL!AL22</f>
        <v>5</v>
      </c>
      <c r="G22" s="164" t="str">
        <f>FINAL!AM22</f>
        <v>FAILED</v>
      </c>
      <c r="H22" s="158">
        <f>'Class List'!G6</f>
        <v>0</v>
      </c>
    </row>
    <row r="23" spans="1:8" ht="14" customHeight="1" x14ac:dyDescent="0.2">
      <c r="A23" s="159">
        <f>'Class List'!A7</f>
        <v>5</v>
      </c>
      <c r="B23" s="162" t="str">
        <f>'Class List'!F7</f>
        <v xml:space="preserve">,  </v>
      </c>
      <c r="C23" s="163"/>
      <c r="D23" s="164">
        <f>PRELIM!AH23</f>
        <v>4</v>
      </c>
      <c r="E23" s="164">
        <f>MIDTERM!AL23</f>
        <v>4</v>
      </c>
      <c r="F23" s="164">
        <f>FINAL!AL23</f>
        <v>5</v>
      </c>
      <c r="G23" s="164" t="str">
        <f>FINAL!AM23</f>
        <v>FAILED</v>
      </c>
      <c r="H23" s="158">
        <f>'Class List'!G7</f>
        <v>0</v>
      </c>
    </row>
    <row r="24" spans="1:8" ht="14" customHeight="1" x14ac:dyDescent="0.2">
      <c r="A24" s="159">
        <f>'Class List'!A8</f>
        <v>6</v>
      </c>
      <c r="B24" s="162" t="str">
        <f>'Class List'!F8</f>
        <v xml:space="preserve">,  </v>
      </c>
      <c r="C24" s="163"/>
      <c r="D24" s="164">
        <f>PRELIM!AH24</f>
        <v>4</v>
      </c>
      <c r="E24" s="164">
        <f>MIDTERM!AL24</f>
        <v>4</v>
      </c>
      <c r="F24" s="164">
        <f>FINAL!AL24</f>
        <v>5</v>
      </c>
      <c r="G24" s="164" t="str">
        <f>FINAL!AM24</f>
        <v>FAILED</v>
      </c>
      <c r="H24" s="158">
        <f>'Class List'!G8</f>
        <v>0</v>
      </c>
    </row>
    <row r="25" spans="1:8" ht="14" customHeight="1" x14ac:dyDescent="0.2">
      <c r="A25" s="159">
        <f>'Class List'!A9</f>
        <v>7</v>
      </c>
      <c r="B25" s="162" t="str">
        <f>'Class List'!F9</f>
        <v xml:space="preserve">,  </v>
      </c>
      <c r="C25" s="163"/>
      <c r="D25" s="164">
        <f>PRELIM!AH25</f>
        <v>4</v>
      </c>
      <c r="E25" s="164">
        <f>MIDTERM!AL25</f>
        <v>4</v>
      </c>
      <c r="F25" s="164">
        <f>FINAL!AL25</f>
        <v>5</v>
      </c>
      <c r="G25" s="164" t="str">
        <f>FINAL!AM25</f>
        <v>FAILED</v>
      </c>
      <c r="H25" s="158">
        <f>'Class List'!G9</f>
        <v>0</v>
      </c>
    </row>
    <row r="26" spans="1:8" ht="14" customHeight="1" x14ac:dyDescent="0.2">
      <c r="A26" s="159">
        <f>'Class List'!A10</f>
        <v>8</v>
      </c>
      <c r="B26" s="162" t="str">
        <f>'Class List'!F10</f>
        <v xml:space="preserve">,  </v>
      </c>
      <c r="C26" s="163"/>
      <c r="D26" s="164">
        <f>PRELIM!AH26</f>
        <v>4</v>
      </c>
      <c r="E26" s="164">
        <f>MIDTERM!AL26</f>
        <v>4</v>
      </c>
      <c r="F26" s="164">
        <f>FINAL!AL26</f>
        <v>5</v>
      </c>
      <c r="G26" s="164" t="str">
        <f>FINAL!AM26</f>
        <v>FAILED</v>
      </c>
      <c r="H26" s="158">
        <f>'Class List'!G10</f>
        <v>0</v>
      </c>
    </row>
    <row r="27" spans="1:8" ht="14" customHeight="1" x14ac:dyDescent="0.2">
      <c r="A27" s="159">
        <f>'Class List'!A11</f>
        <v>9</v>
      </c>
      <c r="B27" s="162" t="str">
        <f>'Class List'!F11</f>
        <v xml:space="preserve">,  </v>
      </c>
      <c r="C27" s="163"/>
      <c r="D27" s="164">
        <f>PRELIM!AH27</f>
        <v>4</v>
      </c>
      <c r="E27" s="164">
        <f>MIDTERM!AL27</f>
        <v>4</v>
      </c>
      <c r="F27" s="164">
        <f>FINAL!AL27</f>
        <v>5</v>
      </c>
      <c r="G27" s="164" t="str">
        <f>FINAL!AM27</f>
        <v>FAILED</v>
      </c>
      <c r="H27" s="158">
        <f>'Class List'!G11</f>
        <v>0</v>
      </c>
    </row>
    <row r="28" spans="1:8" ht="14" customHeight="1" x14ac:dyDescent="0.2">
      <c r="A28" s="159">
        <f>'Class List'!A12</f>
        <v>10</v>
      </c>
      <c r="B28" s="162" t="str">
        <f>'Class List'!F12</f>
        <v xml:space="preserve">,  </v>
      </c>
      <c r="C28" s="163"/>
      <c r="D28" s="164">
        <f>PRELIM!AH28</f>
        <v>4</v>
      </c>
      <c r="E28" s="164">
        <f>MIDTERM!AL28</f>
        <v>4</v>
      </c>
      <c r="F28" s="164">
        <f>FINAL!AL28</f>
        <v>5</v>
      </c>
      <c r="G28" s="164" t="str">
        <f>FINAL!AM28</f>
        <v>FAILED</v>
      </c>
      <c r="H28" s="158">
        <f>'Class List'!G12</f>
        <v>0</v>
      </c>
    </row>
    <row r="29" spans="1:8" ht="14" customHeight="1" x14ac:dyDescent="0.2">
      <c r="A29" s="159">
        <f>'Class List'!A13</f>
        <v>11</v>
      </c>
      <c r="B29" s="162" t="str">
        <f>'Class List'!F13</f>
        <v xml:space="preserve">,  </v>
      </c>
      <c r="C29" s="163"/>
      <c r="D29" s="164">
        <f>PRELIM!AH29</f>
        <v>4</v>
      </c>
      <c r="E29" s="164">
        <f>MIDTERM!AL29</f>
        <v>4</v>
      </c>
      <c r="F29" s="164">
        <f>FINAL!AL29</f>
        <v>5</v>
      </c>
      <c r="G29" s="164" t="str">
        <f>FINAL!AM29</f>
        <v>FAILED</v>
      </c>
      <c r="H29" s="158">
        <f>'Class List'!G13</f>
        <v>0</v>
      </c>
    </row>
    <row r="30" spans="1:8" ht="14" customHeight="1" x14ac:dyDescent="0.2">
      <c r="A30" s="159">
        <f>'Class List'!A14</f>
        <v>12</v>
      </c>
      <c r="B30" s="162" t="str">
        <f>'Class List'!F14</f>
        <v xml:space="preserve">,  </v>
      </c>
      <c r="C30" s="163"/>
      <c r="D30" s="164">
        <f>PRELIM!AH30</f>
        <v>4</v>
      </c>
      <c r="E30" s="164">
        <f>MIDTERM!AL30</f>
        <v>4</v>
      </c>
      <c r="F30" s="164">
        <f>FINAL!AL30</f>
        <v>5</v>
      </c>
      <c r="G30" s="164" t="str">
        <f>FINAL!AM30</f>
        <v>FAILED</v>
      </c>
      <c r="H30" s="158">
        <f>'Class List'!G14</f>
        <v>0</v>
      </c>
    </row>
    <row r="31" spans="1:8" ht="14" customHeight="1" x14ac:dyDescent="0.2">
      <c r="A31" s="159">
        <f>'Class List'!A15</f>
        <v>13</v>
      </c>
      <c r="B31" s="162" t="str">
        <f>'Class List'!F15</f>
        <v xml:space="preserve">,  </v>
      </c>
      <c r="C31" s="163"/>
      <c r="D31" s="164">
        <f>PRELIM!AH31</f>
        <v>4</v>
      </c>
      <c r="E31" s="164">
        <f>MIDTERM!AL31</f>
        <v>4</v>
      </c>
      <c r="F31" s="164">
        <f>FINAL!AL31</f>
        <v>5</v>
      </c>
      <c r="G31" s="164" t="str">
        <f>FINAL!AM31</f>
        <v>FAILED</v>
      </c>
      <c r="H31" s="158">
        <f>'Class List'!G15</f>
        <v>0</v>
      </c>
    </row>
    <row r="32" spans="1:8" ht="14" customHeight="1" x14ac:dyDescent="0.2">
      <c r="A32" s="159">
        <f>'Class List'!A16</f>
        <v>14</v>
      </c>
      <c r="B32" s="162" t="str">
        <f>'Class List'!F16</f>
        <v xml:space="preserve">,  </v>
      </c>
      <c r="C32" s="163"/>
      <c r="D32" s="164">
        <f>PRELIM!AH32</f>
        <v>4</v>
      </c>
      <c r="E32" s="164">
        <f>MIDTERM!AL32</f>
        <v>4</v>
      </c>
      <c r="F32" s="164">
        <f>FINAL!AL32</f>
        <v>5</v>
      </c>
      <c r="G32" s="164" t="str">
        <f>FINAL!AM32</f>
        <v>FAILED</v>
      </c>
      <c r="H32" s="158">
        <f>'Class List'!G16</f>
        <v>0</v>
      </c>
    </row>
    <row r="33" spans="1:8" ht="14" customHeight="1" x14ac:dyDescent="0.2">
      <c r="A33" s="159">
        <f>'Class List'!A17</f>
        <v>15</v>
      </c>
      <c r="B33" s="162" t="str">
        <f>'Class List'!F17</f>
        <v xml:space="preserve">,  </v>
      </c>
      <c r="C33" s="163"/>
      <c r="D33" s="164">
        <f>PRELIM!AH33</f>
        <v>4</v>
      </c>
      <c r="E33" s="164">
        <f>MIDTERM!AL33</f>
        <v>4</v>
      </c>
      <c r="F33" s="164">
        <f>FINAL!AL33</f>
        <v>5</v>
      </c>
      <c r="G33" s="164" t="str">
        <f>FINAL!AM33</f>
        <v>FAILED</v>
      </c>
      <c r="H33" s="158">
        <f>'Class List'!G17</f>
        <v>0</v>
      </c>
    </row>
    <row r="34" spans="1:8" ht="14" customHeight="1" x14ac:dyDescent="0.2">
      <c r="A34" s="159">
        <f>'Class List'!A18</f>
        <v>16</v>
      </c>
      <c r="B34" s="162" t="str">
        <f>'Class List'!F18</f>
        <v xml:space="preserve">,  </v>
      </c>
      <c r="C34" s="163"/>
      <c r="D34" s="164">
        <f>PRELIM!AH34</f>
        <v>4</v>
      </c>
      <c r="E34" s="164">
        <f>MIDTERM!AL34</f>
        <v>4</v>
      </c>
      <c r="F34" s="164">
        <f>FINAL!AL34</f>
        <v>5</v>
      </c>
      <c r="G34" s="164" t="str">
        <f>FINAL!AM34</f>
        <v>FAILED</v>
      </c>
      <c r="H34" s="158">
        <f>'Class List'!G18</f>
        <v>0</v>
      </c>
    </row>
    <row r="35" spans="1:8" ht="14" customHeight="1" x14ac:dyDescent="0.2">
      <c r="A35" s="159">
        <f>'Class List'!A19</f>
        <v>17</v>
      </c>
      <c r="B35" s="162" t="str">
        <f>'Class List'!F19</f>
        <v xml:space="preserve">,  </v>
      </c>
      <c r="C35" s="163"/>
      <c r="D35" s="164">
        <f>PRELIM!AH35</f>
        <v>4</v>
      </c>
      <c r="E35" s="164">
        <f>MIDTERM!AL35</f>
        <v>4</v>
      </c>
      <c r="F35" s="164">
        <f>FINAL!AL35</f>
        <v>5</v>
      </c>
      <c r="G35" s="164" t="str">
        <f>FINAL!AM35</f>
        <v>FAILED</v>
      </c>
      <c r="H35" s="158">
        <f>'Class List'!G19</f>
        <v>0</v>
      </c>
    </row>
    <row r="36" spans="1:8" ht="14" customHeight="1" x14ac:dyDescent="0.2">
      <c r="A36" s="159">
        <f>'Class List'!A20</f>
        <v>18</v>
      </c>
      <c r="B36" s="162" t="str">
        <f>'Class List'!F20</f>
        <v xml:space="preserve">,  </v>
      </c>
      <c r="C36" s="163"/>
      <c r="D36" s="164">
        <f>PRELIM!AH36</f>
        <v>4</v>
      </c>
      <c r="E36" s="164">
        <f>MIDTERM!AL36</f>
        <v>4</v>
      </c>
      <c r="F36" s="164">
        <f>FINAL!AL36</f>
        <v>5</v>
      </c>
      <c r="G36" s="164" t="str">
        <f>FINAL!AM36</f>
        <v>FAILED</v>
      </c>
      <c r="H36" s="158">
        <f>'Class List'!G20</f>
        <v>0</v>
      </c>
    </row>
    <row r="37" spans="1:8" ht="14" customHeight="1" x14ac:dyDescent="0.2">
      <c r="A37" s="159">
        <f>'Class List'!A21</f>
        <v>19</v>
      </c>
      <c r="B37" s="162" t="str">
        <f>'Class List'!F21</f>
        <v xml:space="preserve">,  </v>
      </c>
      <c r="C37" s="163"/>
      <c r="D37" s="164">
        <f>PRELIM!AH37</f>
        <v>4</v>
      </c>
      <c r="E37" s="164">
        <f>MIDTERM!AL37</f>
        <v>4</v>
      </c>
      <c r="F37" s="164">
        <f>FINAL!AL37</f>
        <v>5</v>
      </c>
      <c r="G37" s="164" t="str">
        <f>FINAL!AM37</f>
        <v>FAILED</v>
      </c>
      <c r="H37" s="158">
        <f>'Class List'!G21</f>
        <v>0</v>
      </c>
    </row>
    <row r="38" spans="1:8" ht="14" customHeight="1" x14ac:dyDescent="0.2">
      <c r="A38" s="159">
        <f>'Class List'!A22</f>
        <v>20</v>
      </c>
      <c r="B38" s="162" t="str">
        <f>'Class List'!F22</f>
        <v xml:space="preserve">,  </v>
      </c>
      <c r="C38" s="163"/>
      <c r="D38" s="164">
        <f>PRELIM!AH38</f>
        <v>4</v>
      </c>
      <c r="E38" s="164">
        <f>MIDTERM!AL38</f>
        <v>4</v>
      </c>
      <c r="F38" s="164">
        <f>FINAL!AL38</f>
        <v>5</v>
      </c>
      <c r="G38" s="164" t="str">
        <f>FINAL!AM38</f>
        <v>FAILED</v>
      </c>
      <c r="H38" s="158">
        <f>'Class List'!G22</f>
        <v>0</v>
      </c>
    </row>
    <row r="39" spans="1:8" ht="14" customHeight="1" x14ac:dyDescent="0.2">
      <c r="A39" s="159">
        <f>'Class List'!A23</f>
        <v>21</v>
      </c>
      <c r="B39" s="162" t="str">
        <f>'Class List'!F23</f>
        <v xml:space="preserve">,  </v>
      </c>
      <c r="C39" s="163"/>
      <c r="D39" s="164">
        <f>PRELIM!AH39</f>
        <v>4</v>
      </c>
      <c r="E39" s="164">
        <f>MIDTERM!AL39</f>
        <v>4</v>
      </c>
      <c r="F39" s="164">
        <f>FINAL!AL39</f>
        <v>5</v>
      </c>
      <c r="G39" s="164" t="str">
        <f>FINAL!AM39</f>
        <v>FAILED</v>
      </c>
      <c r="H39" s="158">
        <f>'Class List'!G23</f>
        <v>0</v>
      </c>
    </row>
    <row r="40" spans="1:8" ht="14" customHeight="1" x14ac:dyDescent="0.2">
      <c r="A40" s="159">
        <f>'Class List'!A24</f>
        <v>22</v>
      </c>
      <c r="B40" s="162" t="str">
        <f>'Class List'!F24</f>
        <v xml:space="preserve">,  </v>
      </c>
      <c r="C40" s="163"/>
      <c r="D40" s="164">
        <f>PRELIM!AH40</f>
        <v>4</v>
      </c>
      <c r="E40" s="164">
        <f>MIDTERM!AL40</f>
        <v>4</v>
      </c>
      <c r="F40" s="164">
        <f>FINAL!AL40</f>
        <v>5</v>
      </c>
      <c r="G40" s="164" t="str">
        <f>FINAL!AM40</f>
        <v>FAILED</v>
      </c>
      <c r="H40" s="158">
        <f>'Class List'!G24</f>
        <v>0</v>
      </c>
    </row>
    <row r="41" spans="1:8" ht="14" customHeight="1" x14ac:dyDescent="0.2">
      <c r="A41" s="159">
        <f>'Class List'!A25</f>
        <v>23</v>
      </c>
      <c r="B41" s="162" t="str">
        <f>'Class List'!F25</f>
        <v xml:space="preserve">,  </v>
      </c>
      <c r="C41" s="163"/>
      <c r="D41" s="164">
        <f>PRELIM!AH41</f>
        <v>4</v>
      </c>
      <c r="E41" s="164">
        <f>MIDTERM!AL41</f>
        <v>4</v>
      </c>
      <c r="F41" s="164">
        <f>FINAL!AL41</f>
        <v>5</v>
      </c>
      <c r="G41" s="164" t="str">
        <f>FINAL!AM41</f>
        <v>FAILED</v>
      </c>
      <c r="H41" s="158">
        <f>'Class List'!G25</f>
        <v>0</v>
      </c>
    </row>
    <row r="42" spans="1:8" ht="14" customHeight="1" x14ac:dyDescent="0.2">
      <c r="A42" s="159">
        <f>'Class List'!A26</f>
        <v>24</v>
      </c>
      <c r="B42" s="162" t="str">
        <f>'Class List'!F26</f>
        <v xml:space="preserve">,  </v>
      </c>
      <c r="C42" s="163"/>
      <c r="D42" s="164">
        <f>PRELIM!AH42</f>
        <v>4</v>
      </c>
      <c r="E42" s="164">
        <f>MIDTERM!AL42</f>
        <v>4</v>
      </c>
      <c r="F42" s="164">
        <f>FINAL!AL42</f>
        <v>5</v>
      </c>
      <c r="G42" s="164" t="str">
        <f>FINAL!AM42</f>
        <v>FAILED</v>
      </c>
      <c r="H42" s="158">
        <f>'Class List'!G26</f>
        <v>0</v>
      </c>
    </row>
    <row r="43" spans="1:8" ht="14" customHeight="1" x14ac:dyDescent="0.2">
      <c r="A43" s="159">
        <f>'Class List'!A27</f>
        <v>25</v>
      </c>
      <c r="B43" s="162" t="str">
        <f>'Class List'!F27</f>
        <v xml:space="preserve">,  </v>
      </c>
      <c r="C43" s="163"/>
      <c r="D43" s="164">
        <f>PRELIM!AH43</f>
        <v>4</v>
      </c>
      <c r="E43" s="164">
        <f>MIDTERM!AL43</f>
        <v>4</v>
      </c>
      <c r="F43" s="164">
        <f>FINAL!AL43</f>
        <v>5</v>
      </c>
      <c r="G43" s="164" t="str">
        <f>FINAL!AM43</f>
        <v>FAILED</v>
      </c>
      <c r="H43" s="158">
        <f>'Class List'!G27</f>
        <v>0</v>
      </c>
    </row>
    <row r="44" spans="1:8" ht="14" customHeight="1" x14ac:dyDescent="0.2">
      <c r="A44" s="159">
        <f>'Class List'!A28</f>
        <v>26</v>
      </c>
      <c r="B44" s="162" t="str">
        <f>'Class List'!F28</f>
        <v xml:space="preserve">,  </v>
      </c>
      <c r="C44" s="163"/>
      <c r="D44" s="164">
        <f>PRELIM!AH44</f>
        <v>4</v>
      </c>
      <c r="E44" s="164">
        <f>MIDTERM!AL44</f>
        <v>4</v>
      </c>
      <c r="F44" s="164">
        <f>FINAL!AL44</f>
        <v>5</v>
      </c>
      <c r="G44" s="164" t="str">
        <f>FINAL!AM44</f>
        <v>FAILED</v>
      </c>
      <c r="H44" s="158">
        <f>'Class List'!G28</f>
        <v>0</v>
      </c>
    </row>
    <row r="45" spans="1:8" ht="14" customHeight="1" x14ac:dyDescent="0.2">
      <c r="A45" s="159">
        <f>'Class List'!A29</f>
        <v>27</v>
      </c>
      <c r="B45" s="162" t="str">
        <f>'Class List'!F29</f>
        <v xml:space="preserve">,  </v>
      </c>
      <c r="C45" s="163"/>
      <c r="D45" s="164">
        <f>PRELIM!AH45</f>
        <v>4</v>
      </c>
      <c r="E45" s="164">
        <f>MIDTERM!AL45</f>
        <v>4</v>
      </c>
      <c r="F45" s="164">
        <f>FINAL!AL45</f>
        <v>5</v>
      </c>
      <c r="G45" s="164" t="str">
        <f>FINAL!AM45</f>
        <v>FAILED</v>
      </c>
      <c r="H45" s="158">
        <f>'Class List'!G29</f>
        <v>0</v>
      </c>
    </row>
    <row r="46" spans="1:8" ht="14" customHeight="1" x14ac:dyDescent="0.2">
      <c r="A46" s="159">
        <f>'Class List'!A30</f>
        <v>28</v>
      </c>
      <c r="B46" s="162" t="str">
        <f>'Class List'!F30</f>
        <v xml:space="preserve">,  </v>
      </c>
      <c r="C46" s="163"/>
      <c r="D46" s="164">
        <f>PRELIM!AH46</f>
        <v>4</v>
      </c>
      <c r="E46" s="164">
        <f>MIDTERM!AL46</f>
        <v>4</v>
      </c>
      <c r="F46" s="164">
        <f>FINAL!AL46</f>
        <v>5</v>
      </c>
      <c r="G46" s="164" t="str">
        <f>FINAL!AM46</f>
        <v>FAILED</v>
      </c>
      <c r="H46" s="158">
        <f>'Class List'!G30</f>
        <v>0</v>
      </c>
    </row>
    <row r="47" spans="1:8" ht="14" customHeight="1" x14ac:dyDescent="0.2">
      <c r="A47" s="159">
        <f>'Class List'!A31</f>
        <v>29</v>
      </c>
      <c r="B47" s="162" t="str">
        <f>'Class List'!F31</f>
        <v xml:space="preserve">,  </v>
      </c>
      <c r="C47" s="163"/>
      <c r="D47" s="164">
        <f>PRELIM!AH47</f>
        <v>4</v>
      </c>
      <c r="E47" s="164">
        <f>MIDTERM!AL47</f>
        <v>4</v>
      </c>
      <c r="F47" s="164">
        <f>FINAL!AL47</f>
        <v>5</v>
      </c>
      <c r="G47" s="164" t="str">
        <f>FINAL!AM47</f>
        <v>FAILED</v>
      </c>
      <c r="H47" s="158">
        <f>'Class List'!G31</f>
        <v>0</v>
      </c>
    </row>
    <row r="48" spans="1:8" ht="14" customHeight="1" x14ac:dyDescent="0.2">
      <c r="A48" s="159">
        <f>'Class List'!A32</f>
        <v>30</v>
      </c>
      <c r="B48" s="162" t="str">
        <f>'Class List'!F32</f>
        <v xml:space="preserve">,  </v>
      </c>
      <c r="C48" s="163"/>
      <c r="D48" s="164">
        <f>PRELIM!AH48</f>
        <v>4</v>
      </c>
      <c r="E48" s="164">
        <f>MIDTERM!AL48</f>
        <v>4</v>
      </c>
      <c r="F48" s="164">
        <f>FINAL!AL48</f>
        <v>5</v>
      </c>
      <c r="G48" s="164" t="str">
        <f>FINAL!AM48</f>
        <v>FAILED</v>
      </c>
      <c r="H48" s="158">
        <f>'Class List'!G32</f>
        <v>0</v>
      </c>
    </row>
    <row r="49" spans="1:8" ht="14" customHeight="1" x14ac:dyDescent="0.2">
      <c r="A49" s="159">
        <f>'Class List'!A33</f>
        <v>31</v>
      </c>
      <c r="B49" s="162" t="str">
        <f>'Class List'!F33</f>
        <v xml:space="preserve">,  </v>
      </c>
      <c r="C49" s="163"/>
      <c r="D49" s="164">
        <f>PRELIM!AH49</f>
        <v>4</v>
      </c>
      <c r="E49" s="164">
        <f>MIDTERM!AL49</f>
        <v>4</v>
      </c>
      <c r="F49" s="164">
        <f>FINAL!AL49</f>
        <v>5</v>
      </c>
      <c r="G49" s="164" t="str">
        <f>FINAL!AM49</f>
        <v>FAILED</v>
      </c>
      <c r="H49" s="158">
        <f>'Class List'!G33</f>
        <v>0</v>
      </c>
    </row>
    <row r="50" spans="1:8" ht="14" customHeight="1" x14ac:dyDescent="0.2">
      <c r="A50" s="159">
        <f>'Class List'!A34</f>
        <v>32</v>
      </c>
      <c r="B50" s="162" t="str">
        <f>'Class List'!F34</f>
        <v xml:space="preserve">,  </v>
      </c>
      <c r="C50" s="165"/>
      <c r="D50" s="164">
        <f>PRELIM!AH50</f>
        <v>4</v>
      </c>
      <c r="E50" s="164">
        <f>MIDTERM!AL50</f>
        <v>4</v>
      </c>
      <c r="F50" s="164">
        <f>FINAL!AL50</f>
        <v>5</v>
      </c>
      <c r="G50" s="164" t="str">
        <f>FINAL!AM50</f>
        <v>FAILED</v>
      </c>
      <c r="H50" s="158">
        <f>'Class List'!G34</f>
        <v>0</v>
      </c>
    </row>
    <row r="51" spans="1:8" ht="14" customHeight="1" x14ac:dyDescent="0.2">
      <c r="A51" s="159">
        <f>'Class List'!A35</f>
        <v>33</v>
      </c>
      <c r="B51" s="162" t="str">
        <f>'Class List'!F35</f>
        <v xml:space="preserve">,  </v>
      </c>
      <c r="C51" s="163"/>
      <c r="D51" s="164">
        <f>PRELIM!AH51</f>
        <v>4</v>
      </c>
      <c r="E51" s="164">
        <f>MIDTERM!AL51</f>
        <v>4</v>
      </c>
      <c r="F51" s="164">
        <f>FINAL!AL51</f>
        <v>5</v>
      </c>
      <c r="G51" s="164" t="str">
        <f>FINAL!AM51</f>
        <v>FAILED</v>
      </c>
      <c r="H51" s="158">
        <f>'Class List'!G35</f>
        <v>0</v>
      </c>
    </row>
    <row r="52" spans="1:8" ht="14" customHeight="1" x14ac:dyDescent="0.2">
      <c r="A52" s="159">
        <f>'Class List'!A36</f>
        <v>34</v>
      </c>
      <c r="B52" s="162" t="str">
        <f>'Class List'!F36</f>
        <v xml:space="preserve">,  </v>
      </c>
      <c r="C52" s="163"/>
      <c r="D52" s="164">
        <f>PRELIM!AH52</f>
        <v>4</v>
      </c>
      <c r="E52" s="164">
        <f>MIDTERM!AL52</f>
        <v>4</v>
      </c>
      <c r="F52" s="164">
        <f>FINAL!AL52</f>
        <v>5</v>
      </c>
      <c r="G52" s="164" t="str">
        <f>FINAL!AM52</f>
        <v>FAILED</v>
      </c>
      <c r="H52" s="158">
        <f>'Class List'!G36</f>
        <v>0</v>
      </c>
    </row>
    <row r="53" spans="1:8" ht="14" customHeight="1" x14ac:dyDescent="0.2">
      <c r="A53" s="159">
        <f>'Class List'!A37</f>
        <v>35</v>
      </c>
      <c r="B53" s="162" t="str">
        <f>'Class List'!F37</f>
        <v xml:space="preserve">,  </v>
      </c>
      <c r="C53" s="163"/>
      <c r="D53" s="164">
        <f>PRELIM!AH53</f>
        <v>4</v>
      </c>
      <c r="E53" s="164">
        <f>MIDTERM!AL53</f>
        <v>4</v>
      </c>
      <c r="F53" s="164">
        <f>FINAL!AL53</f>
        <v>5</v>
      </c>
      <c r="G53" s="164" t="str">
        <f>FINAL!AM53</f>
        <v>FAILED</v>
      </c>
      <c r="H53" s="158">
        <f>'Class List'!G37</f>
        <v>0</v>
      </c>
    </row>
    <row r="54" spans="1:8" ht="14" customHeight="1" x14ac:dyDescent="0.2">
      <c r="A54" s="159">
        <f>'Class List'!A38</f>
        <v>36</v>
      </c>
      <c r="B54" s="162" t="str">
        <f>'Class List'!F38</f>
        <v xml:space="preserve">,  </v>
      </c>
      <c r="C54" s="163"/>
      <c r="D54" s="164">
        <f>PRELIM!AH54</f>
        <v>4</v>
      </c>
      <c r="E54" s="164">
        <f>MIDTERM!AL54</f>
        <v>4</v>
      </c>
      <c r="F54" s="164">
        <f>FINAL!AL54</f>
        <v>5</v>
      </c>
      <c r="G54" s="164" t="str">
        <f>FINAL!AM54</f>
        <v>FAILED</v>
      </c>
      <c r="H54" s="158">
        <f>'Class List'!G38</f>
        <v>0</v>
      </c>
    </row>
    <row r="55" spans="1:8" ht="14" customHeight="1" x14ac:dyDescent="0.2">
      <c r="A55" s="159">
        <f>'Class List'!A39</f>
        <v>37</v>
      </c>
      <c r="B55" s="162" t="str">
        <f>'Class List'!F39</f>
        <v xml:space="preserve">,  </v>
      </c>
      <c r="C55" s="163"/>
      <c r="D55" s="164">
        <f>PRELIM!AH55</f>
        <v>4</v>
      </c>
      <c r="E55" s="164">
        <f>MIDTERM!AL55</f>
        <v>4</v>
      </c>
      <c r="F55" s="164">
        <f>FINAL!AL55</f>
        <v>5</v>
      </c>
      <c r="G55" s="164" t="str">
        <f>FINAL!AM55</f>
        <v>FAILED</v>
      </c>
      <c r="H55" s="158">
        <f>'Class List'!G39</f>
        <v>0</v>
      </c>
    </row>
    <row r="56" spans="1:8" ht="14" customHeight="1" x14ac:dyDescent="0.2">
      <c r="A56" s="159">
        <f>'Class List'!A40</f>
        <v>38</v>
      </c>
      <c r="B56" s="162" t="str">
        <f>'Class List'!F40</f>
        <v xml:space="preserve">,  </v>
      </c>
      <c r="C56" s="163"/>
      <c r="D56" s="164">
        <f>PRELIM!AH56</f>
        <v>4</v>
      </c>
      <c r="E56" s="164">
        <f>MIDTERM!AL56</f>
        <v>4</v>
      </c>
      <c r="F56" s="164">
        <f>FINAL!AL56</f>
        <v>5</v>
      </c>
      <c r="G56" s="164" t="str">
        <f>FINAL!AM56</f>
        <v>FAILED</v>
      </c>
      <c r="H56" s="158">
        <f>'Class List'!G40</f>
        <v>0</v>
      </c>
    </row>
    <row r="57" spans="1:8" ht="14" customHeight="1" x14ac:dyDescent="0.2">
      <c r="A57" s="159">
        <f>'Class List'!A41</f>
        <v>39</v>
      </c>
      <c r="B57" s="162" t="str">
        <f>'Class List'!F41</f>
        <v xml:space="preserve">,  </v>
      </c>
      <c r="C57" s="163"/>
      <c r="D57" s="164">
        <f>PRELIM!AH57</f>
        <v>4</v>
      </c>
      <c r="E57" s="164">
        <f>MIDTERM!AL57</f>
        <v>4</v>
      </c>
      <c r="F57" s="164">
        <f>FINAL!AL57</f>
        <v>5</v>
      </c>
      <c r="G57" s="164" t="str">
        <f>FINAL!AM57</f>
        <v>FAILED</v>
      </c>
      <c r="H57" s="158">
        <f>'Class List'!G41</f>
        <v>0</v>
      </c>
    </row>
    <row r="58" spans="1:8" ht="14" customHeight="1" x14ac:dyDescent="0.2">
      <c r="A58" s="159">
        <f>'Class List'!A42</f>
        <v>40</v>
      </c>
      <c r="B58" s="162" t="str">
        <f>'Class List'!F42</f>
        <v xml:space="preserve">,  </v>
      </c>
      <c r="C58" s="163"/>
      <c r="D58" s="164">
        <f>PRELIM!AH58</f>
        <v>4</v>
      </c>
      <c r="E58" s="164">
        <f>MIDTERM!AL58</f>
        <v>4</v>
      </c>
      <c r="F58" s="164">
        <f>FINAL!AL58</f>
        <v>5</v>
      </c>
      <c r="G58" s="164" t="str">
        <f>FINAL!AM58</f>
        <v>FAILED</v>
      </c>
      <c r="H58" s="158">
        <f>'Class List'!G42</f>
        <v>0</v>
      </c>
    </row>
    <row r="59" spans="1:8" ht="14" customHeight="1" x14ac:dyDescent="0.2">
      <c r="A59" s="159">
        <f>'Class List'!A43</f>
        <v>41</v>
      </c>
      <c r="B59" s="162" t="str">
        <f>'Class List'!F43</f>
        <v xml:space="preserve">,  </v>
      </c>
      <c r="C59" s="163"/>
      <c r="D59" s="164">
        <f>PRELIM!AH59</f>
        <v>4</v>
      </c>
      <c r="E59" s="164">
        <f>MIDTERM!AL59</f>
        <v>4</v>
      </c>
      <c r="F59" s="164">
        <f>FINAL!AL59</f>
        <v>5</v>
      </c>
      <c r="G59" s="164" t="str">
        <f>FINAL!AM59</f>
        <v>FAILED</v>
      </c>
      <c r="H59" s="158">
        <f>'Class List'!G43</f>
        <v>0</v>
      </c>
    </row>
    <row r="60" spans="1:8" ht="14" customHeight="1" x14ac:dyDescent="0.2">
      <c r="A60" s="159">
        <f>'Class List'!A44</f>
        <v>42</v>
      </c>
      <c r="B60" s="162" t="str">
        <f>'Class List'!F44</f>
        <v xml:space="preserve">,  </v>
      </c>
      <c r="C60" s="163"/>
      <c r="D60" s="164">
        <f>PRELIM!AH60</f>
        <v>4</v>
      </c>
      <c r="E60" s="164">
        <f>MIDTERM!AL60</f>
        <v>4</v>
      </c>
      <c r="F60" s="164">
        <f>FINAL!AL60</f>
        <v>5</v>
      </c>
      <c r="G60" s="164" t="str">
        <f>FINAL!AM60</f>
        <v>FAILED</v>
      </c>
      <c r="H60" s="158">
        <f>'Class List'!G44</f>
        <v>0</v>
      </c>
    </row>
    <row r="61" spans="1:8" ht="14" customHeight="1" x14ac:dyDescent="0.2">
      <c r="A61" s="159">
        <f>'Class List'!A45</f>
        <v>43</v>
      </c>
      <c r="B61" s="162" t="str">
        <f>'Class List'!F45</f>
        <v xml:space="preserve">,  </v>
      </c>
      <c r="C61" s="163"/>
      <c r="D61" s="164">
        <f>PRELIM!AH61</f>
        <v>4</v>
      </c>
      <c r="E61" s="164">
        <f>MIDTERM!AL61</f>
        <v>4</v>
      </c>
      <c r="F61" s="164">
        <f>FINAL!AL61</f>
        <v>5</v>
      </c>
      <c r="G61" s="164" t="str">
        <f>FINAL!AM61</f>
        <v>FAILED</v>
      </c>
      <c r="H61" s="158">
        <f>'Class List'!G45</f>
        <v>0</v>
      </c>
    </row>
    <row r="62" spans="1:8" ht="14" customHeight="1" x14ac:dyDescent="0.2">
      <c r="A62" s="159">
        <f>'Class List'!A46</f>
        <v>44</v>
      </c>
      <c r="B62" s="162" t="str">
        <f>'Class List'!F46</f>
        <v xml:space="preserve">,  </v>
      </c>
      <c r="C62" s="163"/>
      <c r="D62" s="164">
        <f>PRELIM!AH62</f>
        <v>4</v>
      </c>
      <c r="E62" s="164">
        <f>MIDTERM!AL62</f>
        <v>4</v>
      </c>
      <c r="F62" s="164">
        <f>FINAL!AL62</f>
        <v>5</v>
      </c>
      <c r="G62" s="164" t="str">
        <f>FINAL!AM62</f>
        <v>FAILED</v>
      </c>
      <c r="H62" s="158">
        <f>'Class List'!G46</f>
        <v>0</v>
      </c>
    </row>
    <row r="63" spans="1:8" ht="14" customHeight="1" x14ac:dyDescent="0.2">
      <c r="A63" s="159">
        <f>'Class List'!A47</f>
        <v>45</v>
      </c>
      <c r="B63" s="162" t="str">
        <f>'Class List'!F47</f>
        <v xml:space="preserve">,  </v>
      </c>
      <c r="C63" s="163"/>
      <c r="D63" s="164">
        <f>PRELIM!AH63</f>
        <v>4</v>
      </c>
      <c r="E63" s="164">
        <f>MIDTERM!AL63</f>
        <v>4</v>
      </c>
      <c r="F63" s="164">
        <f>FINAL!AL63</f>
        <v>5</v>
      </c>
      <c r="G63" s="164" t="str">
        <f>FINAL!AM63</f>
        <v>FAILED</v>
      </c>
      <c r="H63" s="158">
        <f>'Class List'!G47</f>
        <v>0</v>
      </c>
    </row>
    <row r="64" spans="1:8" ht="14" customHeight="1" x14ac:dyDescent="0.2">
      <c r="A64" s="159">
        <f>'Class List'!A48</f>
        <v>46</v>
      </c>
      <c r="B64" s="162" t="str">
        <f>'Class List'!F48</f>
        <v xml:space="preserve">,  </v>
      </c>
      <c r="C64" s="163"/>
      <c r="D64" s="164">
        <f>PRELIM!AH64</f>
        <v>4</v>
      </c>
      <c r="E64" s="164">
        <f>MIDTERM!AL64</f>
        <v>4</v>
      </c>
      <c r="F64" s="164">
        <f>FINAL!AL64</f>
        <v>5</v>
      </c>
      <c r="G64" s="164" t="str">
        <f>FINAL!AM64</f>
        <v>FAILED</v>
      </c>
      <c r="H64" s="158">
        <f>'Class List'!G48</f>
        <v>0</v>
      </c>
    </row>
    <row r="65" spans="1:8" ht="14" customHeight="1" x14ac:dyDescent="0.2">
      <c r="A65" s="159">
        <f>'Class List'!A49</f>
        <v>47</v>
      </c>
      <c r="B65" s="162" t="str">
        <f>'Class List'!F49</f>
        <v xml:space="preserve">,  </v>
      </c>
      <c r="C65" s="163"/>
      <c r="D65" s="164">
        <f>PRELIM!AH65</f>
        <v>4</v>
      </c>
      <c r="E65" s="164">
        <f>MIDTERM!AL65</f>
        <v>4</v>
      </c>
      <c r="F65" s="164">
        <f>FINAL!AL65</f>
        <v>5</v>
      </c>
      <c r="G65" s="164" t="str">
        <f>FINAL!AM65</f>
        <v>FAILED</v>
      </c>
      <c r="H65" s="158">
        <f>'Class List'!G49</f>
        <v>0</v>
      </c>
    </row>
    <row r="66" spans="1:8" ht="14" customHeight="1" x14ac:dyDescent="0.2">
      <c r="A66" s="159">
        <f>'Class List'!A50</f>
        <v>48</v>
      </c>
      <c r="B66" s="162" t="str">
        <f>'Class List'!F50</f>
        <v xml:space="preserve">,  </v>
      </c>
      <c r="C66" s="163"/>
      <c r="D66" s="164">
        <f>PRELIM!AH66</f>
        <v>4</v>
      </c>
      <c r="E66" s="164">
        <f>MIDTERM!AL66</f>
        <v>4</v>
      </c>
      <c r="F66" s="164">
        <f>FINAL!AL66</f>
        <v>5</v>
      </c>
      <c r="G66" s="164" t="str">
        <f>FINAL!AM66</f>
        <v>FAILED</v>
      </c>
      <c r="H66" s="158">
        <f>'Class List'!G50</f>
        <v>0</v>
      </c>
    </row>
    <row r="67" spans="1:8" ht="14" customHeight="1" x14ac:dyDescent="0.2">
      <c r="A67" s="159">
        <f>'Class List'!A51</f>
        <v>49</v>
      </c>
      <c r="B67" s="162" t="str">
        <f>'Class List'!F51</f>
        <v xml:space="preserve">,  </v>
      </c>
      <c r="C67" s="163"/>
      <c r="D67" s="164">
        <f>PRELIM!AH67</f>
        <v>4</v>
      </c>
      <c r="E67" s="164">
        <f>MIDTERM!AL67</f>
        <v>4</v>
      </c>
      <c r="F67" s="164">
        <f>FINAL!AL67</f>
        <v>5</v>
      </c>
      <c r="G67" s="164" t="str">
        <f>FINAL!AM67</f>
        <v>FAILED</v>
      </c>
      <c r="H67" s="158">
        <f>'Class List'!G51</f>
        <v>0</v>
      </c>
    </row>
    <row r="68" spans="1:8" ht="14" customHeight="1" x14ac:dyDescent="0.2">
      <c r="A68" s="159">
        <f>'Class List'!A52</f>
        <v>50</v>
      </c>
      <c r="B68" s="162" t="str">
        <f>'Class List'!F52</f>
        <v xml:space="preserve">,  </v>
      </c>
      <c r="C68" s="163"/>
      <c r="D68" s="164">
        <f>PRELIM!AH68</f>
        <v>4</v>
      </c>
      <c r="E68" s="164">
        <f>MIDTERM!AL68</f>
        <v>4</v>
      </c>
      <c r="F68" s="164">
        <f>FINAL!AL68</f>
        <v>5</v>
      </c>
      <c r="G68" s="164" t="str">
        <f>FINAL!AM68</f>
        <v>FAILED</v>
      </c>
      <c r="H68" s="158">
        <f>'Class List'!G52</f>
        <v>0</v>
      </c>
    </row>
    <row r="69" spans="1:8" ht="14" customHeight="1" x14ac:dyDescent="0.2">
      <c r="A69" s="159">
        <f>'Class List'!A53</f>
        <v>51</v>
      </c>
      <c r="B69" s="162" t="str">
        <f>'Class List'!F53</f>
        <v xml:space="preserve">,  </v>
      </c>
      <c r="C69" s="163"/>
      <c r="D69" s="164">
        <f>PRELIM!AH69</f>
        <v>4</v>
      </c>
      <c r="E69" s="164">
        <f>MIDTERM!AL69</f>
        <v>4</v>
      </c>
      <c r="F69" s="164">
        <f>FINAL!AL69</f>
        <v>5</v>
      </c>
      <c r="G69" s="164" t="str">
        <f>FINAL!AM69</f>
        <v>FAILED</v>
      </c>
      <c r="H69" s="158">
        <f>'Class List'!G53</f>
        <v>0</v>
      </c>
    </row>
    <row r="70" spans="1:8" ht="14" customHeight="1" x14ac:dyDescent="0.2">
      <c r="A70" s="159">
        <f>'Class List'!A54</f>
        <v>52</v>
      </c>
      <c r="B70" s="162" t="str">
        <f>'Class List'!F54</f>
        <v xml:space="preserve">,  </v>
      </c>
      <c r="C70" s="163"/>
      <c r="D70" s="164">
        <f>PRELIM!AH70</f>
        <v>4</v>
      </c>
      <c r="E70" s="164">
        <f>MIDTERM!AL70</f>
        <v>4</v>
      </c>
      <c r="F70" s="164">
        <f>FINAL!AL70</f>
        <v>5</v>
      </c>
      <c r="G70" s="164" t="str">
        <f>FINAL!AM70</f>
        <v>FAILED</v>
      </c>
      <c r="H70" s="158">
        <f>'Class List'!G54</f>
        <v>0</v>
      </c>
    </row>
    <row r="71" spans="1:8" ht="14" customHeight="1" x14ac:dyDescent="0.2">
      <c r="A71" s="159">
        <f>'Class List'!A55</f>
        <v>53</v>
      </c>
      <c r="B71" s="162" t="str">
        <f>'Class List'!F55</f>
        <v xml:space="preserve">,  </v>
      </c>
      <c r="C71" s="163"/>
      <c r="D71" s="164">
        <f>PRELIM!AH71</f>
        <v>4</v>
      </c>
      <c r="E71" s="164">
        <f>MIDTERM!AL71</f>
        <v>4</v>
      </c>
      <c r="F71" s="164">
        <f>FINAL!AL71</f>
        <v>5</v>
      </c>
      <c r="G71" s="164" t="str">
        <f>FINAL!AM71</f>
        <v>FAILED</v>
      </c>
      <c r="H71" s="158">
        <f>'Class List'!G55</f>
        <v>0</v>
      </c>
    </row>
    <row r="72" spans="1:8" ht="14" customHeight="1" x14ac:dyDescent="0.2">
      <c r="A72" s="159">
        <f>'Class List'!A56</f>
        <v>54</v>
      </c>
      <c r="B72" s="162" t="str">
        <f>'Class List'!F56</f>
        <v xml:space="preserve">,  </v>
      </c>
      <c r="C72" s="163"/>
      <c r="D72" s="164">
        <f>PRELIM!AH72</f>
        <v>4</v>
      </c>
      <c r="E72" s="164">
        <f>MIDTERM!AL72</f>
        <v>4</v>
      </c>
      <c r="F72" s="164">
        <f>FINAL!AL72</f>
        <v>5</v>
      </c>
      <c r="G72" s="164" t="str">
        <f>FINAL!AM72</f>
        <v>FAILED</v>
      </c>
      <c r="H72" s="158">
        <f>'Class List'!G56</f>
        <v>0</v>
      </c>
    </row>
    <row r="73" spans="1:8" ht="14" customHeight="1" x14ac:dyDescent="0.2">
      <c r="A73" s="159">
        <f>'Class List'!A57</f>
        <v>55</v>
      </c>
      <c r="B73" s="162" t="str">
        <f>'Class List'!F57</f>
        <v xml:space="preserve">,  </v>
      </c>
      <c r="C73" s="163"/>
      <c r="D73" s="164">
        <f>PRELIM!AH73</f>
        <v>4</v>
      </c>
      <c r="E73" s="164">
        <f>MIDTERM!AL73</f>
        <v>4</v>
      </c>
      <c r="F73" s="164">
        <f>FINAL!AL73</f>
        <v>5</v>
      </c>
      <c r="G73" s="164" t="str">
        <f>FINAL!AM73</f>
        <v>FAILED</v>
      </c>
      <c r="H73" s="158">
        <f>'Class List'!G57</f>
        <v>0</v>
      </c>
    </row>
    <row r="74" spans="1:8" ht="14" customHeight="1" x14ac:dyDescent="0.2">
      <c r="A74" s="159">
        <f>'Class List'!A58</f>
        <v>56</v>
      </c>
      <c r="B74" s="162" t="str">
        <f>'Class List'!F58</f>
        <v xml:space="preserve">,  </v>
      </c>
      <c r="C74" s="163"/>
      <c r="D74" s="164">
        <f>PRELIM!AH74</f>
        <v>4</v>
      </c>
      <c r="E74" s="164">
        <f>MIDTERM!AL74</f>
        <v>4</v>
      </c>
      <c r="F74" s="164">
        <f>FINAL!AL74</f>
        <v>5</v>
      </c>
      <c r="G74" s="164" t="str">
        <f>FINAL!AM74</f>
        <v>FAILED</v>
      </c>
      <c r="H74" s="158">
        <f>'Class List'!G58</f>
        <v>0</v>
      </c>
    </row>
    <row r="75" spans="1:8" ht="14" customHeight="1" x14ac:dyDescent="0.2">
      <c r="A75" s="159">
        <f>'Class List'!A59</f>
        <v>57</v>
      </c>
      <c r="B75" s="162" t="str">
        <f>'Class List'!F59</f>
        <v xml:space="preserve">,  </v>
      </c>
      <c r="C75" s="163"/>
      <c r="D75" s="164">
        <f>PRELIM!AH75</f>
        <v>4</v>
      </c>
      <c r="E75" s="164">
        <f>MIDTERM!AL75</f>
        <v>4</v>
      </c>
      <c r="F75" s="164">
        <f>FINAL!AL75</f>
        <v>5</v>
      </c>
      <c r="G75" s="164" t="str">
        <f>FINAL!AM75</f>
        <v>FAILED</v>
      </c>
      <c r="H75" s="158">
        <f>'Class List'!G59</f>
        <v>0</v>
      </c>
    </row>
    <row r="76" spans="1:8" ht="14" customHeight="1" x14ac:dyDescent="0.2">
      <c r="A76" s="159">
        <f>'Class List'!A60</f>
        <v>58</v>
      </c>
      <c r="B76" s="162" t="str">
        <f>'Class List'!F60</f>
        <v xml:space="preserve">,  </v>
      </c>
      <c r="C76" s="163"/>
      <c r="D76" s="164">
        <f>PRELIM!AH76</f>
        <v>4</v>
      </c>
      <c r="E76" s="164">
        <f>MIDTERM!AL76</f>
        <v>4</v>
      </c>
      <c r="F76" s="164">
        <f>FINAL!AL76</f>
        <v>5</v>
      </c>
      <c r="G76" s="164" t="str">
        <f>FINAL!AM76</f>
        <v>FAILED</v>
      </c>
      <c r="H76" s="158">
        <f>'Class List'!G60</f>
        <v>0</v>
      </c>
    </row>
    <row r="77" spans="1:8" ht="14" customHeight="1" x14ac:dyDescent="0.2">
      <c r="A77" s="159">
        <f>'Class List'!A61</f>
        <v>59</v>
      </c>
      <c r="B77" s="162" t="str">
        <f>'Class List'!F61</f>
        <v xml:space="preserve">,  </v>
      </c>
      <c r="C77" s="163"/>
      <c r="D77" s="164">
        <f>PRELIM!AH77</f>
        <v>4</v>
      </c>
      <c r="E77" s="164">
        <f>MIDTERM!AL77</f>
        <v>4</v>
      </c>
      <c r="F77" s="164">
        <f>FINAL!AL77</f>
        <v>5</v>
      </c>
      <c r="G77" s="164" t="str">
        <f>FINAL!AM77</f>
        <v>FAILED</v>
      </c>
      <c r="H77" s="158">
        <f>'Class List'!G61</f>
        <v>0</v>
      </c>
    </row>
    <row r="78" spans="1:8" ht="14" customHeight="1" x14ac:dyDescent="0.2">
      <c r="A78" s="159">
        <f>'Class List'!A62</f>
        <v>60</v>
      </c>
      <c r="B78" s="162" t="str">
        <f>'Class List'!F62</f>
        <v xml:space="preserve">,  </v>
      </c>
      <c r="C78" s="163"/>
      <c r="D78" s="164">
        <f>PRELIM!AH78</f>
        <v>4</v>
      </c>
      <c r="E78" s="164">
        <f>MIDTERM!AL78</f>
        <v>4</v>
      </c>
      <c r="F78" s="164">
        <f>FINAL!AL78</f>
        <v>5</v>
      </c>
      <c r="G78" s="164" t="str">
        <f>FINAL!AM78</f>
        <v>FAILED</v>
      </c>
      <c r="H78" s="158">
        <f>'Class List'!G62</f>
        <v>0</v>
      </c>
    </row>
    <row r="79" spans="1:8" ht="14" customHeight="1" x14ac:dyDescent="0.2">
      <c r="A79" s="149"/>
      <c r="B79" s="149"/>
      <c r="C79" s="149"/>
      <c r="D79" s="149"/>
      <c r="E79" s="149"/>
      <c r="F79" s="149"/>
      <c r="G79" s="149"/>
      <c r="H79" s="149"/>
    </row>
    <row r="80" spans="1:8" x14ac:dyDescent="0.15">
      <c r="A80" s="171"/>
      <c r="B80" s="315"/>
      <c r="C80" s="315"/>
      <c r="D80" s="172"/>
      <c r="E80" s="149"/>
      <c r="F80" s="150"/>
      <c r="G80" s="150"/>
      <c r="H80" s="150"/>
    </row>
    <row r="81" spans="1:8" ht="14" customHeight="1" x14ac:dyDescent="0.15">
      <c r="A81" s="171"/>
      <c r="B81" s="316"/>
      <c r="C81" s="316"/>
      <c r="D81" s="172"/>
      <c r="E81" s="149"/>
      <c r="F81" s="151" t="s">
        <v>76</v>
      </c>
      <c r="G81" s="151"/>
      <c r="H81" s="151"/>
    </row>
    <row r="86" spans="1:8" x14ac:dyDescent="0.2">
      <c r="B86" s="314" t="s">
        <v>86</v>
      </c>
      <c r="C86" s="314"/>
    </row>
    <row r="87" spans="1:8" x14ac:dyDescent="0.2">
      <c r="B87" s="174" t="s">
        <v>131</v>
      </c>
      <c r="D87" s="175" t="s">
        <v>87</v>
      </c>
    </row>
    <row r="88" spans="1:8" x14ac:dyDescent="0.2">
      <c r="B88" s="174" t="s">
        <v>75</v>
      </c>
      <c r="C88" s="174"/>
      <c r="D88" s="175" t="s">
        <v>88</v>
      </c>
    </row>
    <row r="89" spans="1:8" x14ac:dyDescent="0.2">
      <c r="B89" s="174" t="s">
        <v>89</v>
      </c>
      <c r="C89" s="174"/>
      <c r="D89" s="175" t="s">
        <v>91</v>
      </c>
    </row>
    <row r="90" spans="1:8" x14ac:dyDescent="0.2">
      <c r="B90" s="174" t="s">
        <v>90</v>
      </c>
      <c r="C90" s="174"/>
      <c r="D90" s="175" t="s">
        <v>92</v>
      </c>
    </row>
    <row r="91" spans="1:8" x14ac:dyDescent="0.2">
      <c r="B91" s="174"/>
      <c r="C91" s="174"/>
      <c r="D91" s="175"/>
    </row>
    <row r="92" spans="1:8" x14ac:dyDescent="0.2">
      <c r="B92" s="174"/>
      <c r="C92" s="174"/>
      <c r="D92" s="175"/>
    </row>
    <row r="93" spans="1:8" x14ac:dyDescent="0.2">
      <c r="B93" s="173"/>
      <c r="C93" s="173"/>
      <c r="D93" s="175"/>
    </row>
    <row r="94" spans="1:8" x14ac:dyDescent="0.2">
      <c r="D94" s="175"/>
    </row>
    <row r="95" spans="1:8" x14ac:dyDescent="0.2">
      <c r="D95" s="175"/>
    </row>
    <row r="96" spans="1:8" x14ac:dyDescent="0.2">
      <c r="D96" s="175"/>
    </row>
  </sheetData>
  <sheetProtection algorithmName="SHA-512" hashValue="25gBcinLlrrDwb0TMJII/CIdHi0rgHNslpNkMKxX2vyUr6YQ85E1WVHPqLBXzc5YTAr3tXDa8wNq1sHS1QuVIw==" saltValue="44sZT3U/Zcq653mdtGwIgQ==" spinCount="100000" sheet="1" objects="1" scenarios="1"/>
  <mergeCells count="15">
    <mergeCell ref="A10:H10"/>
    <mergeCell ref="A2:H2"/>
    <mergeCell ref="A3:H3"/>
    <mergeCell ref="A4:H4"/>
    <mergeCell ref="A6:H6"/>
    <mergeCell ref="A7:H7"/>
    <mergeCell ref="B80:C80"/>
    <mergeCell ref="B81:C81"/>
    <mergeCell ref="B86:C86"/>
    <mergeCell ref="A11:H11"/>
    <mergeCell ref="A16:A17"/>
    <mergeCell ref="B16:C17"/>
    <mergeCell ref="D16:F16"/>
    <mergeCell ref="G16:G17"/>
    <mergeCell ref="H16:H17"/>
  </mergeCells>
  <conditionalFormatting sqref="H80:H81">
    <cfRule type="cellIs" dxfId="0" priority="1" operator="equal">
      <formula>"failed"</formula>
    </cfRule>
  </conditionalFormatting>
  <printOptions horizontalCentered="1"/>
  <pageMargins left="0.25" right="0.25" top="0.25" bottom="0.25" header="0.3" footer="0.3"/>
  <pageSetup paperSize="14" scale="91" orientation="portrait" horizontalDpi="0" verticalDpi="0" copies="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5E5-7A39-1C43-8441-98CA0A878088}">
  <sheetPr>
    <tabColor rgb="FF92D050"/>
  </sheetPr>
  <dimension ref="B2:F44"/>
  <sheetViews>
    <sheetView workbookViewId="0">
      <selection activeCell="M17" sqref="M17"/>
    </sheetView>
  </sheetViews>
  <sheetFormatPr baseColWidth="10" defaultRowHeight="16" x14ac:dyDescent="0.2"/>
  <cols>
    <col min="4" max="5" width="6.83203125" style="19" bestFit="1" customWidth="1"/>
    <col min="6" max="6" width="7.83203125" bestFit="1" customWidth="1"/>
    <col min="7" max="9" width="6.83203125" bestFit="1" customWidth="1"/>
    <col min="10" max="10" width="6.33203125" bestFit="1" customWidth="1"/>
    <col min="11" max="17" width="6.83203125" bestFit="1" customWidth="1"/>
    <col min="18" max="19" width="3.6640625" bestFit="1" customWidth="1"/>
    <col min="20" max="28" width="6.83203125" bestFit="1" customWidth="1"/>
    <col min="29" max="29" width="7.83203125" bestFit="1" customWidth="1"/>
    <col min="30" max="38" width="6.83203125" bestFit="1" customWidth="1"/>
    <col min="39" max="39" width="7.83203125" bestFit="1" customWidth="1"/>
  </cols>
  <sheetData>
    <row r="2" spans="2:6" x14ac:dyDescent="0.2">
      <c r="B2" s="328" t="s">
        <v>23</v>
      </c>
      <c r="C2" s="328"/>
      <c r="E2" s="328" t="s">
        <v>24</v>
      </c>
      <c r="F2" s="328"/>
    </row>
    <row r="3" spans="2:6" x14ac:dyDescent="0.2">
      <c r="B3" s="329">
        <v>0.75</v>
      </c>
      <c r="C3" s="329"/>
      <c r="E3" s="329">
        <v>0.75</v>
      </c>
      <c r="F3" s="329"/>
    </row>
    <row r="4" spans="2:6" x14ac:dyDescent="0.2">
      <c r="B4" s="46">
        <v>1</v>
      </c>
      <c r="C4" s="20" t="s">
        <v>22</v>
      </c>
      <c r="E4" s="46">
        <v>1.00000000000001</v>
      </c>
      <c r="F4" s="20" t="s">
        <v>22</v>
      </c>
    </row>
    <row r="5" spans="2:6" x14ac:dyDescent="0.2">
      <c r="B5" s="46">
        <v>1.1000000000000001</v>
      </c>
      <c r="C5" s="20" t="s">
        <v>21</v>
      </c>
      <c r="E5" s="46">
        <v>1.1000000000000101</v>
      </c>
      <c r="F5" s="20" t="s">
        <v>21</v>
      </c>
    </row>
    <row r="6" spans="2:6" x14ac:dyDescent="0.2">
      <c r="B6" s="46">
        <v>1.2</v>
      </c>
      <c r="C6" s="20" t="s">
        <v>20</v>
      </c>
      <c r="E6" s="46">
        <v>1.2000000000000099</v>
      </c>
      <c r="F6" s="20" t="s">
        <v>20</v>
      </c>
    </row>
    <row r="7" spans="2:6" x14ac:dyDescent="0.2">
      <c r="B7" s="46">
        <v>1.3</v>
      </c>
      <c r="C7" s="20" t="s">
        <v>19</v>
      </c>
      <c r="E7" s="46">
        <v>1.30000000000001</v>
      </c>
      <c r="F7" s="20" t="s">
        <v>19</v>
      </c>
    </row>
    <row r="8" spans="2:6" x14ac:dyDescent="0.2">
      <c r="B8" s="46">
        <v>1.4</v>
      </c>
      <c r="C8" s="20" t="s">
        <v>18</v>
      </c>
      <c r="E8" s="46">
        <v>1.4000000000000099</v>
      </c>
      <c r="F8" s="20" t="s">
        <v>18</v>
      </c>
    </row>
    <row r="9" spans="2:6" x14ac:dyDescent="0.2">
      <c r="B9" s="46">
        <v>1.5</v>
      </c>
      <c r="C9" s="20">
        <v>90</v>
      </c>
      <c r="E9" s="46">
        <v>1.50000000000001</v>
      </c>
      <c r="F9" s="20">
        <v>90</v>
      </c>
    </row>
    <row r="10" spans="2:6" x14ac:dyDescent="0.2">
      <c r="B10" s="46">
        <v>1.6</v>
      </c>
      <c r="C10" s="20">
        <v>89</v>
      </c>
      <c r="E10" s="46">
        <v>1.6000000000000101</v>
      </c>
      <c r="F10" s="20">
        <v>89</v>
      </c>
    </row>
    <row r="11" spans="2:6" x14ac:dyDescent="0.2">
      <c r="B11" s="46">
        <v>1.7</v>
      </c>
      <c r="C11" s="20">
        <v>88</v>
      </c>
      <c r="E11" s="46">
        <v>1.7000000000000099</v>
      </c>
      <c r="F11" s="20">
        <v>88</v>
      </c>
    </row>
    <row r="12" spans="2:6" x14ac:dyDescent="0.2">
      <c r="B12" s="46">
        <v>1.8</v>
      </c>
      <c r="C12" s="20">
        <v>87</v>
      </c>
      <c r="E12" s="46">
        <v>1.80000000000001</v>
      </c>
      <c r="F12" s="20">
        <v>87</v>
      </c>
    </row>
    <row r="13" spans="2:6" x14ac:dyDescent="0.2">
      <c r="B13" s="46">
        <v>1.9</v>
      </c>
      <c r="C13" s="20">
        <v>86</v>
      </c>
      <c r="E13" s="46">
        <v>1.9000000000000099</v>
      </c>
      <c r="F13" s="20">
        <v>86</v>
      </c>
    </row>
    <row r="14" spans="2:6" x14ac:dyDescent="0.2">
      <c r="B14" s="46">
        <v>2</v>
      </c>
      <c r="C14" s="20">
        <v>85</v>
      </c>
      <c r="E14" s="46">
        <v>2.0000000000000102</v>
      </c>
      <c r="F14" s="20">
        <v>85</v>
      </c>
    </row>
    <row r="15" spans="2:6" x14ac:dyDescent="0.2">
      <c r="B15" s="46">
        <v>2.1</v>
      </c>
      <c r="C15" s="20">
        <v>84</v>
      </c>
      <c r="E15" s="46">
        <v>2.1000000000000099</v>
      </c>
      <c r="F15" s="20">
        <v>84</v>
      </c>
    </row>
    <row r="16" spans="2:6" x14ac:dyDescent="0.2">
      <c r="B16" s="46">
        <v>2.2000000000000002</v>
      </c>
      <c r="C16" s="20">
        <v>83</v>
      </c>
      <c r="E16" s="46">
        <v>2.2000000000000099</v>
      </c>
      <c r="F16" s="20">
        <v>83</v>
      </c>
    </row>
    <row r="17" spans="2:6" x14ac:dyDescent="0.2">
      <c r="B17" s="46">
        <v>2.2999999999999998</v>
      </c>
      <c r="C17" s="20">
        <v>82</v>
      </c>
      <c r="E17" s="46">
        <v>2.30000000000001</v>
      </c>
      <c r="F17" s="20">
        <v>82</v>
      </c>
    </row>
    <row r="18" spans="2:6" x14ac:dyDescent="0.2">
      <c r="B18" s="46">
        <v>2.4</v>
      </c>
      <c r="C18" s="20">
        <v>81</v>
      </c>
      <c r="E18" s="46">
        <v>2.4000000000000101</v>
      </c>
      <c r="F18" s="20">
        <v>81</v>
      </c>
    </row>
    <row r="19" spans="2:6" x14ac:dyDescent="0.2">
      <c r="B19" s="46">
        <v>2.5</v>
      </c>
      <c r="C19" s="20">
        <v>80</v>
      </c>
      <c r="E19" s="46">
        <v>2.5000000000000102</v>
      </c>
      <c r="F19" s="20">
        <v>80</v>
      </c>
    </row>
    <row r="20" spans="2:6" x14ac:dyDescent="0.2">
      <c r="B20" s="46">
        <v>2.6</v>
      </c>
      <c r="C20" s="20">
        <v>79</v>
      </c>
      <c r="E20" s="46">
        <v>2.6000000000000099</v>
      </c>
      <c r="F20" s="20">
        <v>79</v>
      </c>
    </row>
    <row r="21" spans="2:6" x14ac:dyDescent="0.2">
      <c r="B21" s="46">
        <v>2.7</v>
      </c>
      <c r="C21" s="20">
        <v>78</v>
      </c>
      <c r="E21" s="46">
        <v>2.7000000000000099</v>
      </c>
      <c r="F21" s="20">
        <v>78</v>
      </c>
    </row>
    <row r="22" spans="2:6" x14ac:dyDescent="0.2">
      <c r="B22" s="46">
        <v>2.8</v>
      </c>
      <c r="C22" s="20">
        <v>77</v>
      </c>
      <c r="E22" s="46">
        <v>2.80000000000001</v>
      </c>
      <c r="F22" s="20">
        <v>77</v>
      </c>
    </row>
    <row r="23" spans="2:6" x14ac:dyDescent="0.2">
      <c r="B23" s="46">
        <v>2.9</v>
      </c>
      <c r="C23" s="20">
        <v>76</v>
      </c>
      <c r="E23" s="46">
        <v>2.9000000000000101</v>
      </c>
      <c r="F23" s="20">
        <v>76</v>
      </c>
    </row>
    <row r="24" spans="2:6" x14ac:dyDescent="0.2">
      <c r="B24" s="46">
        <v>3</v>
      </c>
      <c r="C24" s="20">
        <v>75</v>
      </c>
      <c r="E24" s="46">
        <v>3.0000000000000102</v>
      </c>
      <c r="F24" s="20">
        <v>75</v>
      </c>
    </row>
    <row r="25" spans="2:6" x14ac:dyDescent="0.2">
      <c r="B25" s="46">
        <v>3.1</v>
      </c>
      <c r="C25" s="20" t="s">
        <v>93</v>
      </c>
      <c r="E25" s="46">
        <v>3.1000000000000099</v>
      </c>
      <c r="F25" s="20" t="s">
        <v>94</v>
      </c>
    </row>
    <row r="26" spans="2:6" x14ac:dyDescent="0.2">
      <c r="B26" s="46">
        <v>3.2</v>
      </c>
      <c r="C26" s="20" t="s">
        <v>95</v>
      </c>
      <c r="E26" s="46">
        <v>3.2000000000000099</v>
      </c>
      <c r="F26" s="20" t="s">
        <v>96</v>
      </c>
    </row>
    <row r="27" spans="2:6" x14ac:dyDescent="0.2">
      <c r="B27" s="46">
        <v>3.3</v>
      </c>
      <c r="C27" s="20" t="s">
        <v>97</v>
      </c>
      <c r="E27" s="46">
        <v>3.30000000000001</v>
      </c>
      <c r="F27" s="20" t="s">
        <v>98</v>
      </c>
    </row>
    <row r="28" spans="2:6" x14ac:dyDescent="0.2">
      <c r="B28" s="46">
        <v>3.4</v>
      </c>
      <c r="C28" s="20" t="s">
        <v>99</v>
      </c>
      <c r="E28" s="46">
        <v>3.4000000000000101</v>
      </c>
      <c r="F28" s="20" t="s">
        <v>100</v>
      </c>
    </row>
    <row r="29" spans="2:6" x14ac:dyDescent="0.2">
      <c r="B29" s="46">
        <v>3.5</v>
      </c>
      <c r="C29" s="20" t="s">
        <v>101</v>
      </c>
      <c r="E29" s="46">
        <v>3.5000000000000102</v>
      </c>
      <c r="F29" s="20" t="s">
        <v>102</v>
      </c>
    </row>
    <row r="30" spans="2:6" x14ac:dyDescent="0.2">
      <c r="B30" s="46">
        <v>3.6</v>
      </c>
      <c r="C30" s="20" t="s">
        <v>103</v>
      </c>
      <c r="E30" s="46">
        <v>3.6000000000000099</v>
      </c>
      <c r="F30" s="20" t="s">
        <v>104</v>
      </c>
    </row>
    <row r="31" spans="2:6" x14ac:dyDescent="0.2">
      <c r="B31" s="46">
        <v>3.7</v>
      </c>
      <c r="C31" s="20" t="s">
        <v>105</v>
      </c>
      <c r="E31" s="46">
        <v>3.7000000000000099</v>
      </c>
      <c r="F31" s="20" t="s">
        <v>106</v>
      </c>
    </row>
    <row r="32" spans="2:6" x14ac:dyDescent="0.2">
      <c r="B32" s="46">
        <v>3.8</v>
      </c>
      <c r="C32" s="21" t="s">
        <v>107</v>
      </c>
      <c r="E32" s="46">
        <v>3.80000000000001</v>
      </c>
      <c r="F32" s="20" t="s">
        <v>108</v>
      </c>
    </row>
    <row r="33" spans="2:6" x14ac:dyDescent="0.2">
      <c r="B33" s="46">
        <v>3.9</v>
      </c>
      <c r="C33" s="176" t="s">
        <v>109</v>
      </c>
      <c r="E33" s="46">
        <v>3.9000000000000101</v>
      </c>
      <c r="F33" s="20" t="s">
        <v>110</v>
      </c>
    </row>
    <row r="34" spans="2:6" x14ac:dyDescent="0.2">
      <c r="B34" s="46">
        <v>4</v>
      </c>
      <c r="C34" s="20">
        <v>0</v>
      </c>
      <c r="E34" s="46">
        <v>4.0000000000000098</v>
      </c>
      <c r="F34" s="20" t="s">
        <v>111</v>
      </c>
    </row>
    <row r="35" spans="2:6" x14ac:dyDescent="0.2">
      <c r="E35" s="46">
        <v>4.1000000000000103</v>
      </c>
      <c r="F35" s="20" t="s">
        <v>112</v>
      </c>
    </row>
    <row r="36" spans="2:6" x14ac:dyDescent="0.2">
      <c r="E36" s="46">
        <v>4.2000000000000099</v>
      </c>
      <c r="F36" s="20" t="s">
        <v>113</v>
      </c>
    </row>
    <row r="37" spans="2:6" x14ac:dyDescent="0.2">
      <c r="E37" s="46">
        <v>4.3000000000000096</v>
      </c>
      <c r="F37" s="20" t="s">
        <v>114</v>
      </c>
    </row>
    <row r="38" spans="2:6" x14ac:dyDescent="0.2">
      <c r="E38" s="46">
        <v>4.4000000000000101</v>
      </c>
      <c r="F38" s="20" t="s">
        <v>115</v>
      </c>
    </row>
    <row r="39" spans="2:6" x14ac:dyDescent="0.2">
      <c r="E39" s="46">
        <v>4.5000000000000098</v>
      </c>
      <c r="F39" s="20" t="s">
        <v>116</v>
      </c>
    </row>
    <row r="40" spans="2:6" x14ac:dyDescent="0.2">
      <c r="E40" s="46">
        <v>4.6000000000000103</v>
      </c>
      <c r="F40" s="176" t="s">
        <v>117</v>
      </c>
    </row>
    <row r="41" spans="2:6" x14ac:dyDescent="0.2">
      <c r="E41" s="46">
        <v>4.7000000000000099</v>
      </c>
      <c r="F41" s="21" t="s">
        <v>118</v>
      </c>
    </row>
    <row r="42" spans="2:6" x14ac:dyDescent="0.2">
      <c r="E42" s="46">
        <v>4.8000000000000096</v>
      </c>
      <c r="F42" s="21" t="s">
        <v>119</v>
      </c>
    </row>
    <row r="43" spans="2:6" x14ac:dyDescent="0.2">
      <c r="E43" s="46">
        <v>4.9000000000000101</v>
      </c>
      <c r="F43" s="176" t="s">
        <v>120</v>
      </c>
    </row>
    <row r="44" spans="2:6" x14ac:dyDescent="0.2">
      <c r="E44" s="46">
        <v>5.0000000000000098</v>
      </c>
      <c r="F44" s="20">
        <v>0</v>
      </c>
    </row>
  </sheetData>
  <sheetProtection algorithmName="SHA-512" hashValue="iO8CiXgwalXM/T56pnL5xm3PcnlF/MA+V2NQMTtd5eeWB4D2oYyLKZY5uCZ5ZF6vb+aFz02vtLOKeVrdkAZ8Ag==" saltValue="wcI2m+ITIbMP869TorbF6Q==" spinCount="100000" sheet="1" objects="1" scenarios="1"/>
  <mergeCells count="4">
    <mergeCell ref="B2:C2"/>
    <mergeCell ref="E2:F2"/>
    <mergeCell ref="B3:C3"/>
    <mergeCell ref="E3:F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Class List</vt:lpstr>
      <vt:lpstr>PRELIM</vt:lpstr>
      <vt:lpstr>MIDTERM</vt:lpstr>
      <vt:lpstr>FINAL</vt:lpstr>
      <vt:lpstr>Grade Sheet (Prelim)</vt:lpstr>
      <vt:lpstr>Grade Sheet (Midterm) </vt:lpstr>
      <vt:lpstr>Grade Sheet (Final)</vt:lpstr>
      <vt:lpstr>Grade Equivalent</vt:lpstr>
      <vt:lpstr>FINAL!Print_Area</vt:lpstr>
      <vt:lpstr>'Grade Sheet (Final)'!Print_Area</vt:lpstr>
      <vt:lpstr>'Grade Sheet (Midterm) '!Print_Area</vt:lpstr>
      <vt:lpstr>'Grade Sheet (Prelim)'!Print_Area</vt:lpstr>
      <vt:lpstr>MIDTERM!Print_Area</vt:lpstr>
      <vt:lpstr>PRELIM!Print_Area</vt:lpstr>
    </vt:vector>
  </TitlesOfParts>
  <Company>University of Cebu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Bacalso</dc:creator>
  <cp:lastModifiedBy>Microsoft Office User</cp:lastModifiedBy>
  <dcterms:created xsi:type="dcterms:W3CDTF">2017-05-30T15:13:08Z</dcterms:created>
  <dcterms:modified xsi:type="dcterms:W3CDTF">2026-08-21T12:30:38Z</dcterms:modified>
</cp:coreProperties>
</file>